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상품목록" state="visible" r:id="rId4"/>
    <sheet sheetId="2" name="주문입력" state="visible" r:id="rId5"/>
    <sheet sheetId="3" name="작성예시" state="visible" r:id="rId6"/>
  </sheets>
  <calcPr calcId="171027"/>
</workbook>
</file>

<file path=xl/sharedStrings.xml><?xml version="1.0" encoding="utf-8"?>
<sst xmlns="http://schemas.openxmlformats.org/spreadsheetml/2006/main" count="86" uniqueCount="59">
  <si>
    <t>상품명</t>
  </si>
  <si>
    <t>정가(원)</t>
  </si>
  <si>
    <t>실속세트</t>
  </si>
  <si>
    <t>봉황세트</t>
  </si>
  <si>
    <t>팔영세트</t>
  </si>
  <si>
    <t>진</t>
  </si>
  <si>
    <t>선</t>
  </si>
  <si>
    <t>미</t>
  </si>
  <si>
    <t>O'meat Signature</t>
  </si>
  <si>
    <t>O'meat Prestige</t>
  </si>
  <si>
    <t>LA갈비 1호</t>
  </si>
  <si>
    <t>LA갈비 2호</t>
  </si>
  <si>
    <t>사골×우족</t>
  </si>
  <si>
    <t>사골×잡뼈×꼬리</t>
  </si>
  <si>
    <t>기타</t>
  </si>
  <si>
    <t>정일품 명절 선물세트 대량 주문서</t>
  </si>
  <si>
    <t>• [필수 입력] 출고일, 수령방식, 주문자명, 주문자연락처, 상품명, 수량은 반드시 입력해주세요.</t>
  </si>
  <si>
    <t>• [단가/합계 자동계산] 상품명을 선택하시면 정가와 수량에 따른 합계금액이 자동 계산됩니다. '기타' 선택 시 단가·수량을 직접 입력하고 비고란에 품목명을 적어주세요.</t>
  </si>
  <si>
    <t>• [택배/배달 발송] 택배 또는 배달 수령 시 받는사람, 연락처, 주소를 정확히 작성해주세요. (현장수령 시 비워두셔도 됩니다)</t>
  </si>
  <si>
    <t>출고일(희망수령일)*</t>
  </si>
  <si>
    <t>수령방식*</t>
  </si>
  <si>
    <t>주문자명*</t>
  </si>
  <si>
    <t>주문자연락처*</t>
  </si>
  <si>
    <t>상품명*</t>
  </si>
  <si>
    <t>수량*</t>
  </si>
  <si>
    <t>단가</t>
  </si>
  <si>
    <t>합계금액</t>
  </si>
  <si>
    <t>받는사람</t>
  </si>
  <si>
    <t>받는사람연락처</t>
  </si>
  <si>
    <t>받는사람주소</t>
  </si>
  <si>
    <t>방문시간</t>
  </si>
  <si>
    <t>배송메시지</t>
  </si>
  <si>
    <t>결제상태</t>
  </si>
  <si>
    <t>비고(기타상품내용/메모)</t>
  </si>
  <si>
    <t>정일품 대량 주문서 작성 예시 (참고용)</t>
  </si>
  <si>
    <t>2026-09-14</t>
  </si>
  <si>
    <t>현장수령</t>
  </si>
  <si>
    <t>홍길동</t>
  </si>
  <si>
    <t>010-1234-5678</t>
  </si>
  <si>
    <t/>
  </si>
  <si>
    <t>15:00</t>
  </si>
  <si>
    <t>결제완료</t>
  </si>
  <si>
    <t>매장 픽업 예정</t>
  </si>
  <si>
    <t>택배</t>
  </si>
  <si>
    <t>한화손해보험</t>
  </si>
  <si>
    <t>010-5555-6666</t>
  </si>
  <si>
    <t>김철수</t>
  </si>
  <si>
    <t>010-9876-5432</t>
  </si>
  <si>
    <t>광주 북구 서강로 104-3 1810호</t>
  </si>
  <si>
    <t>부재 시 경비실에 맡겨주세요</t>
  </si>
  <si>
    <t>2026-09-15</t>
  </si>
  <si>
    <t>박신자</t>
  </si>
  <si>
    <t>010-3333-4444</t>
  </si>
  <si>
    <t>이영희</t>
  </si>
  <si>
    <t>010-7777-8888</t>
  </si>
  <si>
    <t>서울 강남구 테헤란로 123 4층</t>
  </si>
  <si>
    <t>배송 전 연락 요망</t>
  </si>
  <si>
    <t>미결제</t>
  </si>
  <si>
    <t>구이용 15만원 세트(선물세트x)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</si>
</sst>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  <name val="Pretendard"/>
    </font>
    <font>
      <name val="Pretendard"/>
    </font>
    <font>
      <b/>
      <color rgb="FFFFFFFF"/>
      <sz val="16"/>
      <name val="Pretendard"/>
    </font>
    <font>
      <b/>
      <color rgb="FF333333"/>
      <sz val="10"/>
      <name val="Pretendard"/>
    </font>
    <font>
      <color rgb="FF555555"/>
      <sz val="10"/>
      <name val="Pretendard"/>
    </font>
    <font>
      <b/>
      <color rgb="FFFFFFFF"/>
      <sz val="10"/>
      <name val="Pretendard"/>
    </font>
    <font>
      <sz val="10"/>
      <name val="Pretendard"/>
    </font>
    <font>
      <b/>
      <color rgb="FFFFFFFF"/>
      <sz val="14"/>
      <name val="Pretendard"/>
    </font>
  </fonts>
  <fills count="9">
    <fill>
      <patternFill patternType="none"/>
    </fill>
    <fill>
      <patternFill patternType="gray125"/>
    </fill>
    <fill>
      <patternFill patternType="solid">
        <fgColor rgb="FF2E384D"/>
      </patternFill>
    </fill>
    <fill>
      <patternFill patternType="solid">
        <fgColor rgb="FF8B1D24"/>
      </patternFill>
    </fill>
    <fill>
      <patternFill patternType="solid">
        <fgColor rgb="FFF7F8FA"/>
      </patternFill>
    </fill>
    <fill>
      <patternFill patternType="solid">
        <fgColor rgb="FF1E293B"/>
      </patternFill>
    </fill>
    <fill>
      <patternFill patternType="solid">
        <fgColor rgb="FF0F766E"/>
      </patternFill>
    </fill>
    <fill>
      <patternFill patternType="solid">
        <fgColor rgb="FF334155"/>
      </patternFill>
    </fill>
    <fill>
      <patternFill patternType="solid">
        <fgColor rgb="FF475569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3" fontId="2" fillId="0" borderId="0" xfId="0" applyNumberFormat="1" applyFont="1"/>
    <xf numFmtId="0" fontId="3" fillId="3" borderId="0" xfId="0" applyFont="1" applyFill="1" applyAlignment="1">
      <alignment horizontal="left" vertical="center" indent="1"/>
    </xf>
    <xf numFmtId="0" fontId="0" fillId="4" borderId="0" xfId="0" applyFill="1"/>
    <xf numFmtId="0" fontId="4" fillId="4" borderId="0" xfId="0" applyFont="1" applyFill="1" applyAlignment="1">
      <alignment vertical="center" indent="1"/>
    </xf>
    <xf numFmtId="0" fontId="5" fillId="4" borderId="0" xfId="0" applyFont="1" applyFill="1" applyAlignment="1">
      <alignment vertical="center" indent="1"/>
    </xf>
    <xf numFmtId="0" fontId="6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0" borderId="0" xfId="0" applyFont="1"/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3" fontId="7" fillId="0" borderId="1" xfId="0" applyNumberFormat="1" applyFont="1" applyBorder="1" applyAlignment="1">
      <alignment horizontal="right" vertical="center"/>
    </xf>
    <xf numFmtId="0" fontId="8" fillId="7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7" fillId="0" borderId="1" xfId="0" applyFont="1" applyBorder="1"/>
    <xf numFmtId="3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5" outlineLevelRow="0" outlineLevelCol="0" x14ac:dyDescent="55"/>
  <cols>
    <col min="1" max="1" width="22" customWidth="1"/>
    <col min="2" max="2" width="15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 t="s">
        <v>2</v>
      </c>
      <c r="B2" s="3">
        <v>144000</v>
      </c>
    </row>
    <row r="3" spans="1:2" s="2" customFormat="1" x14ac:dyDescent="0.25">
      <c r="A3" s="2" t="s">
        <v>3</v>
      </c>
      <c r="B3" s="3">
        <v>200000</v>
      </c>
    </row>
    <row r="4" spans="1:2" s="2" customFormat="1" x14ac:dyDescent="0.25">
      <c r="A4" s="2" t="s">
        <v>4</v>
      </c>
      <c r="B4" s="3">
        <v>300000</v>
      </c>
    </row>
    <row r="5" spans="1:2" s="2" customFormat="1" x14ac:dyDescent="0.25">
      <c r="A5" s="2" t="s">
        <v>5</v>
      </c>
      <c r="B5" s="3">
        <v>320000</v>
      </c>
    </row>
    <row r="6" spans="1:2" s="2" customFormat="1" x14ac:dyDescent="0.25">
      <c r="A6" s="2" t="s">
        <v>6</v>
      </c>
      <c r="B6" s="3">
        <v>270000</v>
      </c>
    </row>
    <row r="7" spans="1:2" s="2" customFormat="1" x14ac:dyDescent="0.25">
      <c r="A7" s="2" t="s">
        <v>7</v>
      </c>
      <c r="B7" s="3">
        <v>220000</v>
      </c>
    </row>
    <row r="8" spans="1:2" s="2" customFormat="1" x14ac:dyDescent="0.25">
      <c r="A8" s="2" t="s">
        <v>8</v>
      </c>
      <c r="B8" s="3">
        <v>289000</v>
      </c>
    </row>
    <row r="9" spans="1:2" s="2" customFormat="1" x14ac:dyDescent="0.25">
      <c r="A9" s="2" t="s">
        <v>9</v>
      </c>
      <c r="B9" s="3">
        <v>389000</v>
      </c>
    </row>
    <row r="10" spans="1:2" s="2" customFormat="1" x14ac:dyDescent="0.25">
      <c r="A10" s="2" t="s">
        <v>10</v>
      </c>
      <c r="B10" s="3">
        <v>99000</v>
      </c>
    </row>
    <row r="11" spans="1:2" s="2" customFormat="1" x14ac:dyDescent="0.25">
      <c r="A11" s="2" t="s">
        <v>11</v>
      </c>
      <c r="B11" s="3">
        <v>148000</v>
      </c>
    </row>
    <row r="12" spans="1:2" s="2" customFormat="1" x14ac:dyDescent="0.25">
      <c r="A12" s="2" t="s">
        <v>12</v>
      </c>
      <c r="B12" s="3">
        <v>59000</v>
      </c>
    </row>
    <row r="13" spans="1:2" s="2" customFormat="1" x14ac:dyDescent="0.25">
      <c r="A13" s="2" t="s">
        <v>13</v>
      </c>
      <c r="B13" s="3">
        <v>99000</v>
      </c>
    </row>
    <row r="14" spans="1:2" s="2" customFormat="1" x14ac:dyDescent="0.25">
      <c r="A14" s="2" t="s">
        <v>14</v>
      </c>
      <c r="B14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"/>
  <sheetViews>
    <sheetView workbookViewId="0"/>
  </sheetViews>
  <sheetFormatPr defaultRowHeight="15" outlineLevelRow="0" outlineLevelCol="0" x14ac:dyDescent="55"/>
  <cols>
    <col min="1" max="1" width="17" customWidth="1"/>
    <col min="2" max="2" width="12" customWidth="1"/>
    <col min="3" max="3" width="15" customWidth="1"/>
    <col min="4" max="4" width="16" customWidth="1"/>
    <col min="5" max="5" width="20" customWidth="1"/>
    <col min="6" max="6" width="8" customWidth="1"/>
    <col min="7" max="7" width="14" customWidth="1"/>
    <col min="8" max="8" width="15" customWidth="1"/>
    <col min="9" max="9" width="13" customWidth="1"/>
    <col min="10" max="10" width="16" customWidth="1"/>
    <col min="11" max="11" width="36" customWidth="1"/>
    <col min="12" max="12" width="12" customWidth="1"/>
    <col min="13" max="13" width="22" customWidth="1"/>
    <col min="14" max="14" width="12" customWidth="1"/>
    <col min="15" max="15" width="28" customWidth="1"/>
  </cols>
  <sheetData>
    <row r="1" ht="36" customHeight="1" spans="1:15" x14ac:dyDescent="0.25">
      <c r="A1" s="4" t="s">
        <v>15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ht="20" customHeight="1" spans="1:15" s="5" customFormat="1" x14ac:dyDescent="0.25">
      <c r="A2" s="6" t="s">
        <v>16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ht="20" customHeight="1" spans="1:15" s="5" customFormat="1" x14ac:dyDescent="0.25">
      <c r="A3" s="7" t="s">
        <v>17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4" ht="20" customHeight="1" spans="1:15" s="5" customFormat="1" x14ac:dyDescent="0.25">
      <c r="A4" s="7" t="s">
        <v>18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ht="30" customHeight="1" spans="1:15" s="8" customFormat="1" x14ac:dyDescent="0.25">
      <c r="A5" s="9" t="s">
        <v>19</v>
      </c>
      <c r="B5" s="9" t="s">
        <v>20</v>
      </c>
      <c r="C5" s="9" t="s">
        <v>21</v>
      </c>
      <c r="D5" s="9" t="s">
        <v>22</v>
      </c>
      <c r="E5" s="9" t="s">
        <v>23</v>
      </c>
      <c r="F5" s="9" t="s">
        <v>24</v>
      </c>
      <c r="G5" s="9" t="s">
        <v>25</v>
      </c>
      <c r="H5" s="9" t="s">
        <v>26</v>
      </c>
      <c r="I5" s="10" t="s">
        <v>27</v>
      </c>
      <c r="J5" s="10" t="s">
        <v>28</v>
      </c>
      <c r="K5" s="10" t="s">
        <v>29</v>
      </c>
      <c r="L5" s="11" t="s">
        <v>30</v>
      </c>
      <c r="M5" s="11" t="s">
        <v>31</v>
      </c>
      <c r="N5" s="11" t="s">
        <v>32</v>
      </c>
      <c r="O5" s="11" t="s">
        <v>33</v>
      </c>
    </row>
    <row r="6" spans="1:15" s="12" customFormat="1" x14ac:dyDescent="0.25">
      <c r="A6" s="13"/>
      <c r="B6" s="14"/>
      <c r="C6" s="14"/>
      <c r="D6" s="13"/>
      <c r="E6" s="15"/>
      <c r="F6" s="16"/>
      <c r="G6" s="16">
        <f>IF(E6="기타","",IFERROR(VLOOKUP(E6,상품목록!$A$2:$B$13,2,FALSE),""))</f>
      </c>
      <c r="H6" s="16">
        <f>IF(OR(F6="",G6=""),"",F6*G6)</f>
      </c>
      <c r="I6" s="14"/>
      <c r="J6" s="13"/>
      <c r="K6" s="15"/>
      <c r="L6" s="13"/>
      <c r="M6" s="15"/>
      <c r="N6" s="14"/>
      <c r="O6" s="15"/>
    </row>
    <row r="7" spans="1:15" s="12" customFormat="1" x14ac:dyDescent="0.25">
      <c r="A7" s="13"/>
      <c r="B7" s="14"/>
      <c r="C7" s="14"/>
      <c r="D7" s="13"/>
      <c r="E7" s="15"/>
      <c r="F7" s="16"/>
      <c r="G7" s="16">
        <f>IF(E7="기타","",IFERROR(VLOOKUP(E7,상품목록!$A$2:$B$13,2,FALSE),""))</f>
      </c>
      <c r="H7" s="16">
        <f>IF(OR(F7="",G7=""),"",F7*G7)</f>
      </c>
      <c r="I7" s="14"/>
      <c r="J7" s="13"/>
      <c r="K7" s="15"/>
      <c r="L7" s="13"/>
      <c r="M7" s="15"/>
      <c r="N7" s="14"/>
      <c r="O7" s="15"/>
    </row>
    <row r="8" spans="1:15" s="12" customFormat="1" x14ac:dyDescent="0.25">
      <c r="A8" s="13"/>
      <c r="B8" s="14"/>
      <c r="C8" s="14"/>
      <c r="D8" s="13"/>
      <c r="E8" s="15"/>
      <c r="F8" s="16"/>
      <c r="G8" s="16">
        <f>IF(E8="기타","",IFERROR(VLOOKUP(E8,상품목록!$A$2:$B$13,2,FALSE),""))</f>
      </c>
      <c r="H8" s="16">
        <f>IF(OR(F8="",G8=""),"",F8*G8)</f>
      </c>
      <c r="I8" s="14"/>
      <c r="J8" s="13"/>
      <c r="K8" s="15"/>
      <c r="L8" s="13"/>
      <c r="M8" s="15"/>
      <c r="N8" s="14"/>
      <c r="O8" s="15"/>
    </row>
    <row r="9" spans="1:15" s="12" customFormat="1" x14ac:dyDescent="0.25">
      <c r="A9" s="13"/>
      <c r="B9" s="14"/>
      <c r="C9" s="14"/>
      <c r="D9" s="13"/>
      <c r="E9" s="15"/>
      <c r="F9" s="16"/>
      <c r="G9" s="16">
        <f>IF(E9="기타","",IFERROR(VLOOKUP(E9,상품목록!$A$2:$B$13,2,FALSE),""))</f>
      </c>
      <c r="H9" s="16">
        <f>IF(OR(F9="",G9=""),"",F9*G9)</f>
      </c>
      <c r="I9" s="14"/>
      <c r="J9" s="13"/>
      <c r="K9" s="15"/>
      <c r="L9" s="13"/>
      <c r="M9" s="15"/>
      <c r="N9" s="14"/>
      <c r="O9" s="15"/>
    </row>
    <row r="10" spans="1:15" s="12" customFormat="1" x14ac:dyDescent="0.25">
      <c r="A10" s="13"/>
      <c r="B10" s="14"/>
      <c r="C10" s="14"/>
      <c r="D10" s="13"/>
      <c r="E10" s="15"/>
      <c r="F10" s="16"/>
      <c r="G10" s="16">
        <f>IF(E10="기타","",IFERROR(VLOOKUP(E10,상품목록!$A$2:$B$13,2,FALSE),""))</f>
      </c>
      <c r="H10" s="16">
        <f>IF(OR(F10="",G10=""),"",F10*G10)</f>
      </c>
      <c r="I10" s="14"/>
      <c r="J10" s="13"/>
      <c r="K10" s="15"/>
      <c r="L10" s="13"/>
      <c r="M10" s="15"/>
      <c r="N10" s="14"/>
      <c r="O10" s="15"/>
    </row>
    <row r="11" spans="1:15" s="12" customFormat="1" x14ac:dyDescent="0.25">
      <c r="A11" s="13"/>
      <c r="B11" s="14"/>
      <c r="C11" s="14"/>
      <c r="D11" s="13"/>
      <c r="E11" s="15"/>
      <c r="F11" s="16"/>
      <c r="G11" s="16">
        <f>IF(E11="기타","",IFERROR(VLOOKUP(E11,상품목록!$A$2:$B$13,2,FALSE),""))</f>
      </c>
      <c r="H11" s="16">
        <f>IF(OR(F11="",G11=""),"",F11*G11)</f>
      </c>
      <c r="I11" s="14"/>
      <c r="J11" s="13"/>
      <c r="K11" s="15"/>
      <c r="L11" s="13"/>
      <c r="M11" s="15"/>
      <c r="N11" s="14"/>
      <c r="O11" s="15"/>
    </row>
    <row r="12" spans="1:15" s="12" customFormat="1" x14ac:dyDescent="0.25">
      <c r="A12" s="13"/>
      <c r="B12" s="14"/>
      <c r="C12" s="14"/>
      <c r="D12" s="13"/>
      <c r="E12" s="15"/>
      <c r="F12" s="16"/>
      <c r="G12" s="16">
        <f>IF(E12="기타","",IFERROR(VLOOKUP(E12,상품목록!$A$2:$B$13,2,FALSE),""))</f>
      </c>
      <c r="H12" s="16">
        <f>IF(OR(F12="",G12=""),"",F12*G12)</f>
      </c>
      <c r="I12" s="14"/>
      <c r="J12" s="13"/>
      <c r="K12" s="15"/>
      <c r="L12" s="13"/>
      <c r="M12" s="15"/>
      <c r="N12" s="14"/>
      <c r="O12" s="15"/>
    </row>
    <row r="13" spans="1:15" s="12" customFormat="1" x14ac:dyDescent="0.25">
      <c r="A13" s="13"/>
      <c r="B13" s="14"/>
      <c r="C13" s="14"/>
      <c r="D13" s="13"/>
      <c r="E13" s="15"/>
      <c r="F13" s="16"/>
      <c r="G13" s="16">
        <f>IF(E13="기타","",IFERROR(VLOOKUP(E13,상품목록!$A$2:$B$13,2,FALSE),""))</f>
      </c>
      <c r="H13" s="16">
        <f>IF(OR(F13="",G13=""),"",F13*G13)</f>
      </c>
      <c r="I13" s="14"/>
      <c r="J13" s="13"/>
      <c r="K13" s="15"/>
      <c r="L13" s="13"/>
      <c r="M13" s="15"/>
      <c r="N13" s="14"/>
      <c r="O13" s="15"/>
    </row>
    <row r="14" spans="1:15" s="12" customFormat="1" x14ac:dyDescent="0.25">
      <c r="A14" s="13"/>
      <c r="B14" s="14"/>
      <c r="C14" s="14"/>
      <c r="D14" s="13"/>
      <c r="E14" s="15"/>
      <c r="F14" s="16"/>
      <c r="G14" s="16">
        <f>IF(E14="기타","",IFERROR(VLOOKUP(E14,상품목록!$A$2:$B$13,2,FALSE),""))</f>
      </c>
      <c r="H14" s="16">
        <f>IF(OR(F14="",G14=""),"",F14*G14)</f>
      </c>
      <c r="I14" s="14"/>
      <c r="J14" s="13"/>
      <c r="K14" s="15"/>
      <c r="L14" s="13"/>
      <c r="M14" s="15"/>
      <c r="N14" s="14"/>
      <c r="O14" s="15"/>
    </row>
    <row r="15" spans="1:15" s="12" customFormat="1" x14ac:dyDescent="0.25">
      <c r="A15" s="13"/>
      <c r="B15" s="14"/>
      <c r="C15" s="14"/>
      <c r="D15" s="13"/>
      <c r="E15" s="15"/>
      <c r="F15" s="16"/>
      <c r="G15" s="16">
        <f>IF(E15="기타","",IFERROR(VLOOKUP(E15,상품목록!$A$2:$B$13,2,FALSE),""))</f>
      </c>
      <c r="H15" s="16">
        <f>IF(OR(F15="",G15=""),"",F15*G15)</f>
      </c>
      <c r="I15" s="14"/>
      <c r="J15" s="13"/>
      <c r="K15" s="15"/>
      <c r="L15" s="13"/>
      <c r="M15" s="15"/>
      <c r="N15" s="14"/>
      <c r="O15" s="15"/>
    </row>
    <row r="16" spans="1:15" s="12" customFormat="1" x14ac:dyDescent="0.25">
      <c r="A16" s="13"/>
      <c r="B16" s="14"/>
      <c r="C16" s="14"/>
      <c r="D16" s="13"/>
      <c r="E16" s="15"/>
      <c r="F16" s="16"/>
      <c r="G16" s="16">
        <f>IF(E16="기타","",IFERROR(VLOOKUP(E16,상품목록!$A$2:$B$13,2,FALSE),""))</f>
      </c>
      <c r="H16" s="16">
        <f>IF(OR(F16="",G16=""),"",F16*G16)</f>
      </c>
      <c r="I16" s="14"/>
      <c r="J16" s="13"/>
      <c r="K16" s="15"/>
      <c r="L16" s="13"/>
      <c r="M16" s="15"/>
      <c r="N16" s="14"/>
      <c r="O16" s="15"/>
    </row>
    <row r="17" spans="1:15" s="12" customFormat="1" x14ac:dyDescent="0.25">
      <c r="A17" s="13"/>
      <c r="B17" s="14"/>
      <c r="C17" s="14"/>
      <c r="D17" s="13"/>
      <c r="E17" s="15"/>
      <c r="F17" s="16"/>
      <c r="G17" s="16">
        <f>IF(E17="기타","",IFERROR(VLOOKUP(E17,상품목록!$A$2:$B$13,2,FALSE),""))</f>
      </c>
      <c r="H17" s="16">
        <f>IF(OR(F17="",G17=""),"",F17*G17)</f>
      </c>
      <c r="I17" s="14"/>
      <c r="J17" s="13"/>
      <c r="K17" s="15"/>
      <c r="L17" s="13"/>
      <c r="M17" s="15"/>
      <c r="N17" s="14"/>
      <c r="O17" s="15"/>
    </row>
    <row r="18" spans="1:15" s="12" customFormat="1" x14ac:dyDescent="0.25">
      <c r="A18" s="13"/>
      <c r="B18" s="14"/>
      <c r="C18" s="14"/>
      <c r="D18" s="13"/>
      <c r="E18" s="15"/>
      <c r="F18" s="16"/>
      <c r="G18" s="16">
        <f>IF(E18="기타","",IFERROR(VLOOKUP(E18,상품목록!$A$2:$B$13,2,FALSE),""))</f>
      </c>
      <c r="H18" s="16">
        <f>IF(OR(F18="",G18=""),"",F18*G18)</f>
      </c>
      <c r="I18" s="14"/>
      <c r="J18" s="13"/>
      <c r="K18" s="15"/>
      <c r="L18" s="13"/>
      <c r="M18" s="15"/>
      <c r="N18" s="14"/>
      <c r="O18" s="15"/>
    </row>
    <row r="19" spans="1:15" s="12" customFormat="1" x14ac:dyDescent="0.25">
      <c r="A19" s="13"/>
      <c r="B19" s="14"/>
      <c r="C19" s="14"/>
      <c r="D19" s="13"/>
      <c r="E19" s="15"/>
      <c r="F19" s="16"/>
      <c r="G19" s="16">
        <f>IF(E19="기타","",IFERROR(VLOOKUP(E19,상품목록!$A$2:$B$13,2,FALSE),""))</f>
      </c>
      <c r="H19" s="16">
        <f>IF(OR(F19="",G19=""),"",F19*G19)</f>
      </c>
      <c r="I19" s="14"/>
      <c r="J19" s="13"/>
      <c r="K19" s="15"/>
      <c r="L19" s="13"/>
      <c r="M19" s="15"/>
      <c r="N19" s="14"/>
      <c r="O19" s="15"/>
    </row>
    <row r="20" spans="1:15" s="12" customFormat="1" x14ac:dyDescent="0.25">
      <c r="A20" s="13"/>
      <c r="B20" s="14"/>
      <c r="C20" s="14"/>
      <c r="D20" s="13"/>
      <c r="E20" s="15"/>
      <c r="F20" s="16"/>
      <c r="G20" s="16">
        <f>IF(E20="기타","",IFERROR(VLOOKUP(E20,상품목록!$A$2:$B$13,2,FALSE),""))</f>
      </c>
      <c r="H20" s="16">
        <f>IF(OR(F20="",G20=""),"",F20*G20)</f>
      </c>
      <c r="I20" s="14"/>
      <c r="J20" s="13"/>
      <c r="K20" s="15"/>
      <c r="L20" s="13"/>
      <c r="M20" s="15"/>
      <c r="N20" s="14"/>
      <c r="O20" s="15"/>
    </row>
    <row r="21" spans="1:15" s="12" customFormat="1" x14ac:dyDescent="0.25">
      <c r="A21" s="13"/>
      <c r="B21" s="14"/>
      <c r="C21" s="14"/>
      <c r="D21" s="13"/>
      <c r="E21" s="15"/>
      <c r="F21" s="16"/>
      <c r="G21" s="16">
        <f>IF(E21="기타","",IFERROR(VLOOKUP(E21,상품목록!$A$2:$B$13,2,FALSE),""))</f>
      </c>
      <c r="H21" s="16">
        <f>IF(OR(F21="",G21=""),"",F21*G21)</f>
      </c>
      <c r="I21" s="14"/>
      <c r="J21" s="13"/>
      <c r="K21" s="15"/>
      <c r="L21" s="13"/>
      <c r="M21" s="15"/>
      <c r="N21" s="14"/>
      <c r="O21" s="15"/>
    </row>
    <row r="22" spans="1:15" s="12" customFormat="1" x14ac:dyDescent="0.25">
      <c r="A22" s="13"/>
      <c r="B22" s="14"/>
      <c r="C22" s="14"/>
      <c r="D22" s="13"/>
      <c r="E22" s="15"/>
      <c r="F22" s="16"/>
      <c r="G22" s="16">
        <f>IF(E22="기타","",IFERROR(VLOOKUP(E22,상품목록!$A$2:$B$13,2,FALSE),""))</f>
      </c>
      <c r="H22" s="16">
        <f>IF(OR(F22="",G22=""),"",F22*G22)</f>
      </c>
      <c r="I22" s="14"/>
      <c r="J22" s="13"/>
      <c r="K22" s="15"/>
      <c r="L22" s="13"/>
      <c r="M22" s="15"/>
      <c r="N22" s="14"/>
      <c r="O22" s="15"/>
    </row>
    <row r="23" spans="1:15" s="12" customFormat="1" x14ac:dyDescent="0.25">
      <c r="A23" s="13"/>
      <c r="B23" s="14"/>
      <c r="C23" s="14"/>
      <c r="D23" s="13"/>
      <c r="E23" s="15"/>
      <c r="F23" s="16"/>
      <c r="G23" s="16">
        <f>IF(E23="기타","",IFERROR(VLOOKUP(E23,상품목록!$A$2:$B$13,2,FALSE),""))</f>
      </c>
      <c r="H23" s="16">
        <f>IF(OR(F23="",G23=""),"",F23*G23)</f>
      </c>
      <c r="I23" s="14"/>
      <c r="J23" s="13"/>
      <c r="K23" s="15"/>
      <c r="L23" s="13"/>
      <c r="M23" s="15"/>
      <c r="N23" s="14"/>
      <c r="O23" s="15"/>
    </row>
    <row r="24" spans="1:15" s="12" customFormat="1" x14ac:dyDescent="0.25">
      <c r="A24" s="13"/>
      <c r="B24" s="14"/>
      <c r="C24" s="14"/>
      <c r="D24" s="13"/>
      <c r="E24" s="15"/>
      <c r="F24" s="16"/>
      <c r="G24" s="16">
        <f>IF(E24="기타","",IFERROR(VLOOKUP(E24,상품목록!$A$2:$B$13,2,FALSE),""))</f>
      </c>
      <c r="H24" s="16">
        <f>IF(OR(F24="",G24=""),"",F24*G24)</f>
      </c>
      <c r="I24" s="14"/>
      <c r="J24" s="13"/>
      <c r="K24" s="15"/>
      <c r="L24" s="13"/>
      <c r="M24" s="15"/>
      <c r="N24" s="14"/>
      <c r="O24" s="15"/>
    </row>
    <row r="25" spans="1:15" s="12" customFormat="1" x14ac:dyDescent="0.25">
      <c r="A25" s="13"/>
      <c r="B25" s="14"/>
      <c r="C25" s="14"/>
      <c r="D25" s="13"/>
      <c r="E25" s="15"/>
      <c r="F25" s="16"/>
      <c r="G25" s="16">
        <f>IF(E25="기타","",IFERROR(VLOOKUP(E25,상품목록!$A$2:$B$13,2,FALSE),""))</f>
      </c>
      <c r="H25" s="16">
        <f>IF(OR(F25="",G25=""),"",F25*G25)</f>
      </c>
      <c r="I25" s="14"/>
      <c r="J25" s="13"/>
      <c r="K25" s="15"/>
      <c r="L25" s="13"/>
      <c r="M25" s="15"/>
      <c r="N25" s="14"/>
      <c r="O25" s="15"/>
    </row>
    <row r="26" spans="1:15" s="12" customFormat="1" x14ac:dyDescent="0.25">
      <c r="A26" s="13"/>
      <c r="B26" s="14"/>
      <c r="C26" s="14"/>
      <c r="D26" s="13"/>
      <c r="E26" s="15"/>
      <c r="F26" s="16"/>
      <c r="G26" s="16">
        <f>IF(E26="기타","",IFERROR(VLOOKUP(E26,상품목록!$A$2:$B$13,2,FALSE),""))</f>
      </c>
      <c r="H26" s="16">
        <f>IF(OR(F26="",G26=""),"",F26*G26)</f>
      </c>
      <c r="I26" s="14"/>
      <c r="J26" s="13"/>
      <c r="K26" s="15"/>
      <c r="L26" s="13"/>
      <c r="M26" s="15"/>
      <c r="N26" s="14"/>
      <c r="O26" s="15"/>
    </row>
    <row r="27" spans="1:15" s="12" customFormat="1" x14ac:dyDescent="0.25">
      <c r="A27" s="13"/>
      <c r="B27" s="14"/>
      <c r="C27" s="14"/>
      <c r="D27" s="13"/>
      <c r="E27" s="15"/>
      <c r="F27" s="16"/>
      <c r="G27" s="16">
        <f>IF(E27="기타","",IFERROR(VLOOKUP(E27,상품목록!$A$2:$B$13,2,FALSE),""))</f>
      </c>
      <c r="H27" s="16">
        <f>IF(OR(F27="",G27=""),"",F27*G27)</f>
      </c>
      <c r="I27" s="14"/>
      <c r="J27" s="13"/>
      <c r="K27" s="15"/>
      <c r="L27" s="13"/>
      <c r="M27" s="15"/>
      <c r="N27" s="14"/>
      <c r="O27" s="15"/>
    </row>
    <row r="28" spans="1:15" s="12" customFormat="1" x14ac:dyDescent="0.25">
      <c r="A28" s="13"/>
      <c r="B28" s="14"/>
      <c r="C28" s="14"/>
      <c r="D28" s="13"/>
      <c r="E28" s="15"/>
      <c r="F28" s="16"/>
      <c r="G28" s="16">
        <f>IF(E28="기타","",IFERROR(VLOOKUP(E28,상품목록!$A$2:$B$13,2,FALSE),""))</f>
      </c>
      <c r="H28" s="16">
        <f>IF(OR(F28="",G28=""),"",F28*G28)</f>
      </c>
      <c r="I28" s="14"/>
      <c r="J28" s="13"/>
      <c r="K28" s="15"/>
      <c r="L28" s="13"/>
      <c r="M28" s="15"/>
      <c r="N28" s="14"/>
      <c r="O28" s="15"/>
    </row>
    <row r="29" spans="1:15" s="12" customFormat="1" x14ac:dyDescent="0.25">
      <c r="A29" s="13"/>
      <c r="B29" s="14"/>
      <c r="C29" s="14"/>
      <c r="D29" s="13"/>
      <c r="E29" s="15"/>
      <c r="F29" s="16"/>
      <c r="G29" s="16">
        <f>IF(E29="기타","",IFERROR(VLOOKUP(E29,상품목록!$A$2:$B$13,2,FALSE),""))</f>
      </c>
      <c r="H29" s="16">
        <f>IF(OR(F29="",G29=""),"",F29*G29)</f>
      </c>
      <c r="I29" s="14"/>
      <c r="J29" s="13"/>
      <c r="K29" s="15"/>
      <c r="L29" s="13"/>
      <c r="M29" s="15"/>
      <c r="N29" s="14"/>
      <c r="O29" s="15"/>
    </row>
    <row r="30" spans="1:15" s="12" customFormat="1" x14ac:dyDescent="0.25">
      <c r="A30" s="13"/>
      <c r="B30" s="14"/>
      <c r="C30" s="14"/>
      <c r="D30" s="13"/>
      <c r="E30" s="15"/>
      <c r="F30" s="16"/>
      <c r="G30" s="16">
        <f>IF(E30="기타","",IFERROR(VLOOKUP(E30,상품목록!$A$2:$B$13,2,FALSE),""))</f>
      </c>
      <c r="H30" s="16">
        <f>IF(OR(F30="",G30=""),"",F30*G30)</f>
      </c>
      <c r="I30" s="14"/>
      <c r="J30" s="13"/>
      <c r="K30" s="15"/>
      <c r="L30" s="13"/>
      <c r="M30" s="15"/>
      <c r="N30" s="14"/>
      <c r="O30" s="15"/>
    </row>
    <row r="31" spans="1:15" s="12" customFormat="1" x14ac:dyDescent="0.25">
      <c r="A31" s="13"/>
      <c r="B31" s="14"/>
      <c r="C31" s="14"/>
      <c r="D31" s="13"/>
      <c r="E31" s="15"/>
      <c r="F31" s="16"/>
      <c r="G31" s="16">
        <f>IF(E31="기타","",IFERROR(VLOOKUP(E31,상품목록!$A$2:$B$13,2,FALSE),""))</f>
      </c>
      <c r="H31" s="16">
        <f>IF(OR(F31="",G31=""),"",F31*G31)</f>
      </c>
      <c r="I31" s="14"/>
      <c r="J31" s="13"/>
      <c r="K31" s="15"/>
      <c r="L31" s="13"/>
      <c r="M31" s="15"/>
      <c r="N31" s="14"/>
      <c r="O31" s="15"/>
    </row>
    <row r="32" spans="1:15" s="12" customFormat="1" x14ac:dyDescent="0.25">
      <c r="A32" s="13"/>
      <c r="B32" s="14"/>
      <c r="C32" s="14"/>
      <c r="D32" s="13"/>
      <c r="E32" s="15"/>
      <c r="F32" s="16"/>
      <c r="G32" s="16">
        <f>IF(E32="기타","",IFERROR(VLOOKUP(E32,상품목록!$A$2:$B$13,2,FALSE),""))</f>
      </c>
      <c r="H32" s="16">
        <f>IF(OR(F32="",G32=""),"",F32*G32)</f>
      </c>
      <c r="I32" s="14"/>
      <c r="J32" s="13"/>
      <c r="K32" s="15"/>
      <c r="L32" s="13"/>
      <c r="M32" s="15"/>
      <c r="N32" s="14"/>
      <c r="O32" s="15"/>
    </row>
    <row r="33" spans="1:15" s="12" customFormat="1" x14ac:dyDescent="0.25">
      <c r="A33" s="13"/>
      <c r="B33" s="14"/>
      <c r="C33" s="14"/>
      <c r="D33" s="13"/>
      <c r="E33" s="15"/>
      <c r="F33" s="16"/>
      <c r="G33" s="16">
        <f>IF(E33="기타","",IFERROR(VLOOKUP(E33,상품목록!$A$2:$B$13,2,FALSE),""))</f>
      </c>
      <c r="H33" s="16">
        <f>IF(OR(F33="",G33=""),"",F33*G33)</f>
      </c>
      <c r="I33" s="14"/>
      <c r="J33" s="13"/>
      <c r="K33" s="15"/>
      <c r="L33" s="13"/>
      <c r="M33" s="15"/>
      <c r="N33" s="14"/>
      <c r="O33" s="15"/>
    </row>
    <row r="34" spans="1:15" s="12" customFormat="1" x14ac:dyDescent="0.25">
      <c r="A34" s="13"/>
      <c r="B34" s="14"/>
      <c r="C34" s="14"/>
      <c r="D34" s="13"/>
      <c r="E34" s="15"/>
      <c r="F34" s="16"/>
      <c r="G34" s="16">
        <f>IF(E34="기타","",IFERROR(VLOOKUP(E34,상품목록!$A$2:$B$13,2,FALSE),""))</f>
      </c>
      <c r="H34" s="16">
        <f>IF(OR(F34="",G34=""),"",F34*G34)</f>
      </c>
      <c r="I34" s="14"/>
      <c r="J34" s="13"/>
      <c r="K34" s="15"/>
      <c r="L34" s="13"/>
      <c r="M34" s="15"/>
      <c r="N34" s="14"/>
      <c r="O34" s="15"/>
    </row>
    <row r="35" spans="1:15" s="12" customFormat="1" x14ac:dyDescent="0.25">
      <c r="A35" s="13"/>
      <c r="B35" s="14"/>
      <c r="C35" s="14"/>
      <c r="D35" s="13"/>
      <c r="E35" s="15"/>
      <c r="F35" s="16"/>
      <c r="G35" s="16">
        <f>IF(E35="기타","",IFERROR(VLOOKUP(E35,상품목록!$A$2:$B$13,2,FALSE),""))</f>
      </c>
      <c r="H35" s="16">
        <f>IF(OR(F35="",G35=""),"",F35*G35)</f>
      </c>
      <c r="I35" s="14"/>
      <c r="J35" s="13"/>
      <c r="K35" s="15"/>
      <c r="L35" s="13"/>
      <c r="M35" s="15"/>
      <c r="N35" s="14"/>
      <c r="O35" s="15"/>
    </row>
    <row r="36" spans="1:15" s="12" customFormat="1" x14ac:dyDescent="0.25">
      <c r="A36" s="13"/>
      <c r="B36" s="14"/>
      <c r="C36" s="14"/>
      <c r="D36" s="13"/>
      <c r="E36" s="15"/>
      <c r="F36" s="16"/>
      <c r="G36" s="16">
        <f>IF(E36="기타","",IFERROR(VLOOKUP(E36,상품목록!$A$2:$B$13,2,FALSE),""))</f>
      </c>
      <c r="H36" s="16">
        <f>IF(OR(F36="",G36=""),"",F36*G36)</f>
      </c>
      <c r="I36" s="14"/>
      <c r="J36" s="13"/>
      <c r="K36" s="15"/>
      <c r="L36" s="13"/>
      <c r="M36" s="15"/>
      <c r="N36" s="14"/>
      <c r="O36" s="15"/>
    </row>
    <row r="37" spans="1:15" s="12" customFormat="1" x14ac:dyDescent="0.25">
      <c r="A37" s="13"/>
      <c r="B37" s="14"/>
      <c r="C37" s="14"/>
      <c r="D37" s="13"/>
      <c r="E37" s="15"/>
      <c r="F37" s="16"/>
      <c r="G37" s="16">
        <f>IF(E37="기타","",IFERROR(VLOOKUP(E37,상품목록!$A$2:$B$13,2,FALSE),""))</f>
      </c>
      <c r="H37" s="16">
        <f>IF(OR(F37="",G37=""),"",F37*G37)</f>
      </c>
      <c r="I37" s="14"/>
      <c r="J37" s="13"/>
      <c r="K37" s="15"/>
      <c r="L37" s="13"/>
      <c r="M37" s="15"/>
      <c r="N37" s="14"/>
      <c r="O37" s="15"/>
    </row>
    <row r="38" spans="1:15" s="12" customFormat="1" x14ac:dyDescent="0.25">
      <c r="A38" s="13"/>
      <c r="B38" s="14"/>
      <c r="C38" s="14"/>
      <c r="D38" s="13"/>
      <c r="E38" s="15"/>
      <c r="F38" s="16"/>
      <c r="G38" s="16">
        <f>IF(E38="기타","",IFERROR(VLOOKUP(E38,상품목록!$A$2:$B$13,2,FALSE),""))</f>
      </c>
      <c r="H38" s="16">
        <f>IF(OR(F38="",G38=""),"",F38*G38)</f>
      </c>
      <c r="I38" s="14"/>
      <c r="J38" s="13"/>
      <c r="K38" s="15"/>
      <c r="L38" s="13"/>
      <c r="M38" s="15"/>
      <c r="N38" s="14"/>
      <c r="O38" s="15"/>
    </row>
    <row r="39" spans="1:15" s="12" customFormat="1" x14ac:dyDescent="0.25">
      <c r="A39" s="13"/>
      <c r="B39" s="14"/>
      <c r="C39" s="14"/>
      <c r="D39" s="13"/>
      <c r="E39" s="15"/>
      <c r="F39" s="16"/>
      <c r="G39" s="16">
        <f>IF(E39="기타","",IFERROR(VLOOKUP(E39,상품목록!$A$2:$B$13,2,FALSE),""))</f>
      </c>
      <c r="H39" s="16">
        <f>IF(OR(F39="",G39=""),"",F39*G39)</f>
      </c>
      <c r="I39" s="14"/>
      <c r="J39" s="13"/>
      <c r="K39" s="15"/>
      <c r="L39" s="13"/>
      <c r="M39" s="15"/>
      <c r="N39" s="14"/>
      <c r="O39" s="15"/>
    </row>
    <row r="40" spans="1:15" s="12" customFormat="1" x14ac:dyDescent="0.25">
      <c r="A40" s="13"/>
      <c r="B40" s="14"/>
      <c r="C40" s="14"/>
      <c r="D40" s="13"/>
      <c r="E40" s="15"/>
      <c r="F40" s="16"/>
      <c r="G40" s="16">
        <f>IF(E40="기타","",IFERROR(VLOOKUP(E40,상품목록!$A$2:$B$13,2,FALSE),""))</f>
      </c>
      <c r="H40" s="16">
        <f>IF(OR(F40="",G40=""),"",F40*G40)</f>
      </c>
      <c r="I40" s="14"/>
      <c r="J40" s="13"/>
      <c r="K40" s="15"/>
      <c r="L40" s="13"/>
      <c r="M40" s="15"/>
      <c r="N40" s="14"/>
      <c r="O40" s="15"/>
    </row>
    <row r="41" spans="1:15" s="12" customFormat="1" x14ac:dyDescent="0.25">
      <c r="A41" s="13"/>
      <c r="B41" s="14"/>
      <c r="C41" s="14"/>
      <c r="D41" s="13"/>
      <c r="E41" s="15"/>
      <c r="F41" s="16"/>
      <c r="G41" s="16">
        <f>IF(E41="기타","",IFERROR(VLOOKUP(E41,상품목록!$A$2:$B$13,2,FALSE),""))</f>
      </c>
      <c r="H41" s="16">
        <f>IF(OR(F41="",G41=""),"",F41*G41)</f>
      </c>
      <c r="I41" s="14"/>
      <c r="J41" s="13"/>
      <c r="K41" s="15"/>
      <c r="L41" s="13"/>
      <c r="M41" s="15"/>
      <c r="N41" s="14"/>
      <c r="O41" s="15"/>
    </row>
    <row r="42" spans="1:15" s="12" customFormat="1" x14ac:dyDescent="0.25">
      <c r="A42" s="13"/>
      <c r="B42" s="14"/>
      <c r="C42" s="14"/>
      <c r="D42" s="13"/>
      <c r="E42" s="15"/>
      <c r="F42" s="16"/>
      <c r="G42" s="16">
        <f>IF(E42="기타","",IFERROR(VLOOKUP(E42,상품목록!$A$2:$B$13,2,FALSE),""))</f>
      </c>
      <c r="H42" s="16">
        <f>IF(OR(F42="",G42=""),"",F42*G42)</f>
      </c>
      <c r="I42" s="14"/>
      <c r="J42" s="13"/>
      <c r="K42" s="15"/>
      <c r="L42" s="13"/>
      <c r="M42" s="15"/>
      <c r="N42" s="14"/>
      <c r="O42" s="15"/>
    </row>
    <row r="43" spans="1:15" s="12" customFormat="1" x14ac:dyDescent="0.25">
      <c r="A43" s="13"/>
      <c r="B43" s="14"/>
      <c r="C43" s="14"/>
      <c r="D43" s="13"/>
      <c r="E43" s="15"/>
      <c r="F43" s="16"/>
      <c r="G43" s="16">
        <f>IF(E43="기타","",IFERROR(VLOOKUP(E43,상품목록!$A$2:$B$13,2,FALSE),""))</f>
      </c>
      <c r="H43" s="16">
        <f>IF(OR(F43="",G43=""),"",F43*G43)</f>
      </c>
      <c r="I43" s="14"/>
      <c r="J43" s="13"/>
      <c r="K43" s="15"/>
      <c r="L43" s="13"/>
      <c r="M43" s="15"/>
      <c r="N43" s="14"/>
      <c r="O43" s="15"/>
    </row>
    <row r="44" spans="1:15" s="12" customFormat="1" x14ac:dyDescent="0.25">
      <c r="A44" s="13"/>
      <c r="B44" s="14"/>
      <c r="C44" s="14"/>
      <c r="D44" s="13"/>
      <c r="E44" s="15"/>
      <c r="F44" s="16"/>
      <c r="G44" s="16">
        <f>IF(E44="기타","",IFERROR(VLOOKUP(E44,상품목록!$A$2:$B$13,2,FALSE),""))</f>
      </c>
      <c r="H44" s="16">
        <f>IF(OR(F44="",G44=""),"",F44*G44)</f>
      </c>
      <c r="I44" s="14"/>
      <c r="J44" s="13"/>
      <c r="K44" s="15"/>
      <c r="L44" s="13"/>
      <c r="M44" s="15"/>
      <c r="N44" s="14"/>
      <c r="O44" s="15"/>
    </row>
    <row r="45" spans="1:15" s="12" customFormat="1" x14ac:dyDescent="0.25">
      <c r="A45" s="13"/>
      <c r="B45" s="14"/>
      <c r="C45" s="14"/>
      <c r="D45" s="13"/>
      <c r="E45" s="15"/>
      <c r="F45" s="16"/>
      <c r="G45" s="16">
        <f>IF(E45="기타","",IFERROR(VLOOKUP(E45,상품목록!$A$2:$B$13,2,FALSE),""))</f>
      </c>
      <c r="H45" s="16">
        <f>IF(OR(F45="",G45=""),"",F45*G45)</f>
      </c>
      <c r="I45" s="14"/>
      <c r="J45" s="13"/>
      <c r="K45" s="15"/>
      <c r="L45" s="13"/>
      <c r="M45" s="15"/>
      <c r="N45" s="14"/>
      <c r="O45" s="15"/>
    </row>
    <row r="46" spans="1:15" s="12" customFormat="1" x14ac:dyDescent="0.25">
      <c r="A46" s="13"/>
      <c r="B46" s="14"/>
      <c r="C46" s="14"/>
      <c r="D46" s="13"/>
      <c r="E46" s="15"/>
      <c r="F46" s="16"/>
      <c r="G46" s="16">
        <f>IF(E46="기타","",IFERROR(VLOOKUP(E46,상품목록!$A$2:$B$13,2,FALSE),""))</f>
      </c>
      <c r="H46" s="16">
        <f>IF(OR(F46="",G46=""),"",F46*G46)</f>
      </c>
      <c r="I46" s="14"/>
      <c r="J46" s="13"/>
      <c r="K46" s="15"/>
      <c r="L46" s="13"/>
      <c r="M46" s="15"/>
      <c r="N46" s="14"/>
      <c r="O46" s="15"/>
    </row>
    <row r="47" spans="1:15" s="12" customFormat="1" x14ac:dyDescent="0.25">
      <c r="A47" s="13"/>
      <c r="B47" s="14"/>
      <c r="C47" s="14"/>
      <c r="D47" s="13"/>
      <c r="E47" s="15"/>
      <c r="F47" s="16"/>
      <c r="G47" s="16">
        <f>IF(E47="기타","",IFERROR(VLOOKUP(E47,상품목록!$A$2:$B$13,2,FALSE),""))</f>
      </c>
      <c r="H47" s="16">
        <f>IF(OR(F47="",G47=""),"",F47*G47)</f>
      </c>
      <c r="I47" s="14"/>
      <c r="J47" s="13"/>
      <c r="K47" s="15"/>
      <c r="L47" s="13"/>
      <c r="M47" s="15"/>
      <c r="N47" s="14"/>
      <c r="O47" s="15"/>
    </row>
    <row r="48" spans="1:15" s="12" customFormat="1" x14ac:dyDescent="0.25">
      <c r="A48" s="13"/>
      <c r="B48" s="14"/>
      <c r="C48" s="14"/>
      <c r="D48" s="13"/>
      <c r="E48" s="15"/>
      <c r="F48" s="16"/>
      <c r="G48" s="16">
        <f>IF(E48="기타","",IFERROR(VLOOKUP(E48,상품목록!$A$2:$B$13,2,FALSE),""))</f>
      </c>
      <c r="H48" s="16">
        <f>IF(OR(F48="",G48=""),"",F48*G48)</f>
      </c>
      <c r="I48" s="14"/>
      <c r="J48" s="13"/>
      <c r="K48" s="15"/>
      <c r="L48" s="13"/>
      <c r="M48" s="15"/>
      <c r="N48" s="14"/>
      <c r="O48" s="15"/>
    </row>
    <row r="49" spans="1:15" s="12" customFormat="1" x14ac:dyDescent="0.25">
      <c r="A49" s="13"/>
      <c r="B49" s="14"/>
      <c r="C49" s="14"/>
      <c r="D49" s="13"/>
      <c r="E49" s="15"/>
      <c r="F49" s="16"/>
      <c r="G49" s="16">
        <f>IF(E49="기타","",IFERROR(VLOOKUP(E49,상품목록!$A$2:$B$13,2,FALSE),""))</f>
      </c>
      <c r="H49" s="16">
        <f>IF(OR(F49="",G49=""),"",F49*G49)</f>
      </c>
      <c r="I49" s="14"/>
      <c r="J49" s="13"/>
      <c r="K49" s="15"/>
      <c r="L49" s="13"/>
      <c r="M49" s="15"/>
      <c r="N49" s="14"/>
      <c r="O49" s="15"/>
    </row>
    <row r="50" spans="1:15" s="12" customFormat="1" x14ac:dyDescent="0.25">
      <c r="A50" s="13"/>
      <c r="B50" s="14"/>
      <c r="C50" s="14"/>
      <c r="D50" s="13"/>
      <c r="E50" s="15"/>
      <c r="F50" s="16"/>
      <c r="G50" s="16">
        <f>IF(E50="기타","",IFERROR(VLOOKUP(E50,상품목록!$A$2:$B$13,2,FALSE),""))</f>
      </c>
      <c r="H50" s="16">
        <f>IF(OR(F50="",G50=""),"",F50*G50)</f>
      </c>
      <c r="I50" s="14"/>
      <c r="J50" s="13"/>
      <c r="K50" s="15"/>
      <c r="L50" s="13"/>
      <c r="M50" s="15"/>
      <c r="N50" s="14"/>
      <c r="O50" s="15"/>
    </row>
    <row r="51" spans="1:15" s="12" customFormat="1" x14ac:dyDescent="0.25">
      <c r="A51" s="13"/>
      <c r="B51" s="14"/>
      <c r="C51" s="14"/>
      <c r="D51" s="13"/>
      <c r="E51" s="15"/>
      <c r="F51" s="16"/>
      <c r="G51" s="16">
        <f>IF(E51="기타","",IFERROR(VLOOKUP(E51,상품목록!$A$2:$B$13,2,FALSE),""))</f>
      </c>
      <c r="H51" s="16">
        <f>IF(OR(F51="",G51=""),"",F51*G51)</f>
      </c>
      <c r="I51" s="14"/>
      <c r="J51" s="13"/>
      <c r="K51" s="15"/>
      <c r="L51" s="13"/>
      <c r="M51" s="15"/>
      <c r="N51" s="14"/>
      <c r="O51" s="15"/>
    </row>
    <row r="52" spans="1:15" s="12" customFormat="1" x14ac:dyDescent="0.25">
      <c r="A52" s="13"/>
      <c r="B52" s="14"/>
      <c r="C52" s="14"/>
      <c r="D52" s="13"/>
      <c r="E52" s="15"/>
      <c r="F52" s="16"/>
      <c r="G52" s="16">
        <f>IF(E52="기타","",IFERROR(VLOOKUP(E52,상품목록!$A$2:$B$13,2,FALSE),""))</f>
      </c>
      <c r="H52" s="16">
        <f>IF(OR(F52="",G52=""),"",F52*G52)</f>
      </c>
      <c r="I52" s="14"/>
      <c r="J52" s="13"/>
      <c r="K52" s="15"/>
      <c r="L52" s="13"/>
      <c r="M52" s="15"/>
      <c r="N52" s="14"/>
      <c r="O52" s="15"/>
    </row>
    <row r="53" spans="1:15" s="12" customFormat="1" x14ac:dyDescent="0.25">
      <c r="A53" s="13"/>
      <c r="B53" s="14"/>
      <c r="C53" s="14"/>
      <c r="D53" s="13"/>
      <c r="E53" s="15"/>
      <c r="F53" s="16"/>
      <c r="G53" s="16">
        <f>IF(E53="기타","",IFERROR(VLOOKUP(E53,상품목록!$A$2:$B$13,2,FALSE),""))</f>
      </c>
      <c r="H53" s="16">
        <f>IF(OR(F53="",G53=""),"",F53*G53)</f>
      </c>
      <c r="I53" s="14"/>
      <c r="J53" s="13"/>
      <c r="K53" s="15"/>
      <c r="L53" s="13"/>
      <c r="M53" s="15"/>
      <c r="N53" s="14"/>
      <c r="O53" s="15"/>
    </row>
    <row r="54" spans="1:15" s="12" customFormat="1" x14ac:dyDescent="0.25">
      <c r="A54" s="13"/>
      <c r="B54" s="14"/>
      <c r="C54" s="14"/>
      <c r="D54" s="13"/>
      <c r="E54" s="15"/>
      <c r="F54" s="16"/>
      <c r="G54" s="16">
        <f>IF(E54="기타","",IFERROR(VLOOKUP(E54,상품목록!$A$2:$B$13,2,FALSE),""))</f>
      </c>
      <c r="H54" s="16">
        <f>IF(OR(F54="",G54=""),"",F54*G54)</f>
      </c>
      <c r="I54" s="14"/>
      <c r="J54" s="13"/>
      <c r="K54" s="15"/>
      <c r="L54" s="13"/>
      <c r="M54" s="15"/>
      <c r="N54" s="14"/>
      <c r="O54" s="15"/>
    </row>
    <row r="55" spans="1:15" s="12" customFormat="1" x14ac:dyDescent="0.25">
      <c r="A55" s="13"/>
      <c r="B55" s="14"/>
      <c r="C55" s="14"/>
      <c r="D55" s="13"/>
      <c r="E55" s="15"/>
      <c r="F55" s="16"/>
      <c r="G55" s="16">
        <f>IF(E55="기타","",IFERROR(VLOOKUP(E55,상품목록!$A$2:$B$13,2,FALSE),""))</f>
      </c>
      <c r="H55" s="16">
        <f>IF(OR(F55="",G55=""),"",F55*G55)</f>
      </c>
      <c r="I55" s="14"/>
      <c r="J55" s="13"/>
      <c r="K55" s="15"/>
      <c r="L55" s="13"/>
      <c r="M55" s="15"/>
      <c r="N55" s="14"/>
      <c r="O55" s="15"/>
    </row>
    <row r="56" spans="1:15" s="12" customFormat="1" x14ac:dyDescent="0.25">
      <c r="A56" s="13"/>
      <c r="B56" s="14"/>
      <c r="C56" s="14"/>
      <c r="D56" s="13"/>
      <c r="E56" s="15"/>
      <c r="F56" s="16"/>
      <c r="G56" s="16">
        <f>IF(E56="기타","",IFERROR(VLOOKUP(E56,상품목록!$A$2:$B$13,2,FALSE),""))</f>
      </c>
      <c r="H56" s="16">
        <f>IF(OR(F56="",G56=""),"",F56*G56)</f>
      </c>
      <c r="I56" s="14"/>
      <c r="J56" s="13"/>
      <c r="K56" s="15"/>
      <c r="L56" s="13"/>
      <c r="M56" s="15"/>
      <c r="N56" s="14"/>
      <c r="O56" s="15"/>
    </row>
    <row r="57" spans="1:15" s="12" customFormat="1" x14ac:dyDescent="0.25">
      <c r="A57" s="13"/>
      <c r="B57" s="14"/>
      <c r="C57" s="14"/>
      <c r="D57" s="13"/>
      <c r="E57" s="15"/>
      <c r="F57" s="16"/>
      <c r="G57" s="16">
        <f>IF(E57="기타","",IFERROR(VLOOKUP(E57,상품목록!$A$2:$B$13,2,FALSE),""))</f>
      </c>
      <c r="H57" s="16">
        <f>IF(OR(F57="",G57=""),"",F57*G57)</f>
      </c>
      <c r="I57" s="14"/>
      <c r="J57" s="13"/>
      <c r="K57" s="15"/>
      <c r="L57" s="13"/>
      <c r="M57" s="15"/>
      <c r="N57" s="14"/>
      <c r="O57" s="15"/>
    </row>
    <row r="58" spans="1:15" s="12" customFormat="1" x14ac:dyDescent="0.25">
      <c r="A58" s="13"/>
      <c r="B58" s="14"/>
      <c r="C58" s="14"/>
      <c r="D58" s="13"/>
      <c r="E58" s="15"/>
      <c r="F58" s="16"/>
      <c r="G58" s="16">
        <f>IF(E58="기타","",IFERROR(VLOOKUP(E58,상품목록!$A$2:$B$13,2,FALSE),""))</f>
      </c>
      <c r="H58" s="16">
        <f>IF(OR(F58="",G58=""),"",F58*G58)</f>
      </c>
      <c r="I58" s="14"/>
      <c r="J58" s="13"/>
      <c r="K58" s="15"/>
      <c r="L58" s="13"/>
      <c r="M58" s="15"/>
      <c r="N58" s="14"/>
      <c r="O58" s="15"/>
    </row>
    <row r="59" spans="1:15" s="12" customFormat="1" x14ac:dyDescent="0.25">
      <c r="A59" s="13"/>
      <c r="B59" s="14"/>
      <c r="C59" s="14"/>
      <c r="D59" s="13"/>
      <c r="E59" s="15"/>
      <c r="F59" s="16"/>
      <c r="G59" s="16">
        <f>IF(E59="기타","",IFERROR(VLOOKUP(E59,상품목록!$A$2:$B$13,2,FALSE),""))</f>
      </c>
      <c r="H59" s="16">
        <f>IF(OR(F59="",G59=""),"",F59*G59)</f>
      </c>
      <c r="I59" s="14"/>
      <c r="J59" s="13"/>
      <c r="K59" s="15"/>
      <c r="L59" s="13"/>
      <c r="M59" s="15"/>
      <c r="N59" s="14"/>
      <c r="O59" s="15"/>
    </row>
    <row r="60" spans="1:15" s="12" customFormat="1" x14ac:dyDescent="0.25">
      <c r="A60" s="13"/>
      <c r="B60" s="14"/>
      <c r="C60" s="14"/>
      <c r="D60" s="13"/>
      <c r="E60" s="15"/>
      <c r="F60" s="16"/>
      <c r="G60" s="16">
        <f>IF(E60="기타","",IFERROR(VLOOKUP(E60,상품목록!$A$2:$B$13,2,FALSE),""))</f>
      </c>
      <c r="H60" s="16">
        <f>IF(OR(F60="",G60=""),"",F60*G60)</f>
      </c>
      <c r="I60" s="14"/>
      <c r="J60" s="13"/>
      <c r="K60" s="15"/>
      <c r="L60" s="13"/>
      <c r="M60" s="15"/>
      <c r="N60" s="14"/>
      <c r="O60" s="15"/>
    </row>
    <row r="61" spans="1:15" s="12" customFormat="1" x14ac:dyDescent="0.25">
      <c r="A61" s="13"/>
      <c r="B61" s="14"/>
      <c r="C61" s="14"/>
      <c r="D61" s="13"/>
      <c r="E61" s="15"/>
      <c r="F61" s="16"/>
      <c r="G61" s="16">
        <f>IF(E61="기타","",IFERROR(VLOOKUP(E61,상품목록!$A$2:$B$13,2,FALSE),""))</f>
      </c>
      <c r="H61" s="16">
        <f>IF(OR(F61="",G61=""),"",F61*G61)</f>
      </c>
      <c r="I61" s="14"/>
      <c r="J61" s="13"/>
      <c r="K61" s="15"/>
      <c r="L61" s="13"/>
      <c r="M61" s="15"/>
      <c r="N61" s="14"/>
      <c r="O61" s="15"/>
    </row>
    <row r="62" spans="1:15" s="12" customFormat="1" x14ac:dyDescent="0.25">
      <c r="A62" s="13"/>
      <c r="B62" s="14"/>
      <c r="C62" s="14"/>
      <c r="D62" s="13"/>
      <c r="E62" s="15"/>
      <c r="F62" s="16"/>
      <c r="G62" s="16">
        <f>IF(E62="기타","",IFERROR(VLOOKUP(E62,상품목록!$A$2:$B$13,2,FALSE),""))</f>
      </c>
      <c r="H62" s="16">
        <f>IF(OR(F62="",G62=""),"",F62*G62)</f>
      </c>
      <c r="I62" s="14"/>
      <c r="J62" s="13"/>
      <c r="K62" s="15"/>
      <c r="L62" s="13"/>
      <c r="M62" s="15"/>
      <c r="N62" s="14"/>
      <c r="O62" s="15"/>
    </row>
    <row r="63" spans="1:15" s="12" customFormat="1" x14ac:dyDescent="0.25">
      <c r="A63" s="13"/>
      <c r="B63" s="14"/>
      <c r="C63" s="14"/>
      <c r="D63" s="13"/>
      <c r="E63" s="15"/>
      <c r="F63" s="16"/>
      <c r="G63" s="16">
        <f>IF(E63="기타","",IFERROR(VLOOKUP(E63,상품목록!$A$2:$B$13,2,FALSE),""))</f>
      </c>
      <c r="H63" s="16">
        <f>IF(OR(F63="",G63=""),"",F63*G63)</f>
      </c>
      <c r="I63" s="14"/>
      <c r="J63" s="13"/>
      <c r="K63" s="15"/>
      <c r="L63" s="13"/>
      <c r="M63" s="15"/>
      <c r="N63" s="14"/>
      <c r="O63" s="15"/>
    </row>
    <row r="64" spans="1:15" s="12" customFormat="1" x14ac:dyDescent="0.25">
      <c r="A64" s="13"/>
      <c r="B64" s="14"/>
      <c r="C64" s="14"/>
      <c r="D64" s="13"/>
      <c r="E64" s="15"/>
      <c r="F64" s="16"/>
      <c r="G64" s="16">
        <f>IF(E64="기타","",IFERROR(VLOOKUP(E64,상품목록!$A$2:$B$13,2,FALSE),""))</f>
      </c>
      <c r="H64" s="16">
        <f>IF(OR(F64="",G64=""),"",F64*G64)</f>
      </c>
      <c r="I64" s="14"/>
      <c r="J64" s="13"/>
      <c r="K64" s="15"/>
      <c r="L64" s="13"/>
      <c r="M64" s="15"/>
      <c r="N64" s="14"/>
      <c r="O64" s="15"/>
    </row>
    <row r="65" spans="1:15" s="12" customFormat="1" x14ac:dyDescent="0.25">
      <c r="A65" s="13"/>
      <c r="B65" s="14"/>
      <c r="C65" s="14"/>
      <c r="D65" s="13"/>
      <c r="E65" s="15"/>
      <c r="F65" s="16"/>
      <c r="G65" s="16">
        <f>IF(E65="기타","",IFERROR(VLOOKUP(E65,상품목록!$A$2:$B$13,2,FALSE),""))</f>
      </c>
      <c r="H65" s="16">
        <f>IF(OR(F65="",G65=""),"",F65*G65)</f>
      </c>
      <c r="I65" s="14"/>
      <c r="J65" s="13"/>
      <c r="K65" s="15"/>
      <c r="L65" s="13"/>
      <c r="M65" s="15"/>
      <c r="N65" s="14"/>
      <c r="O65" s="15"/>
    </row>
    <row r="66" spans="1:15" s="12" customFormat="1" x14ac:dyDescent="0.25">
      <c r="A66" s="13"/>
      <c r="B66" s="14"/>
      <c r="C66" s="14"/>
      <c r="D66" s="13"/>
      <c r="E66" s="15"/>
      <c r="F66" s="16"/>
      <c r="G66" s="16">
        <f>IF(E66="기타","",IFERROR(VLOOKUP(E66,상품목록!$A$2:$B$13,2,FALSE),""))</f>
      </c>
      <c r="H66" s="16">
        <f>IF(OR(F66="",G66=""),"",F66*G66)</f>
      </c>
      <c r="I66" s="14"/>
      <c r="J66" s="13"/>
      <c r="K66" s="15"/>
      <c r="L66" s="13"/>
      <c r="M66" s="15"/>
      <c r="N66" s="14"/>
      <c r="O66" s="15"/>
    </row>
    <row r="67" spans="1:15" s="12" customFormat="1" x14ac:dyDescent="0.25">
      <c r="A67" s="13"/>
      <c r="B67" s="14"/>
      <c r="C67" s="14"/>
      <c r="D67" s="13"/>
      <c r="E67" s="15"/>
      <c r="F67" s="16"/>
      <c r="G67" s="16">
        <f>IF(E67="기타","",IFERROR(VLOOKUP(E67,상품목록!$A$2:$B$13,2,FALSE),""))</f>
      </c>
      <c r="H67" s="16">
        <f>IF(OR(F67="",G67=""),"",F67*G67)</f>
      </c>
      <c r="I67" s="14"/>
      <c r="J67" s="13"/>
      <c r="K67" s="15"/>
      <c r="L67" s="13"/>
      <c r="M67" s="15"/>
      <c r="N67" s="14"/>
      <c r="O67" s="15"/>
    </row>
    <row r="68" spans="1:15" s="12" customFormat="1" x14ac:dyDescent="0.25">
      <c r="A68" s="13"/>
      <c r="B68" s="14"/>
      <c r="C68" s="14"/>
      <c r="D68" s="13"/>
      <c r="E68" s="15"/>
      <c r="F68" s="16"/>
      <c r="G68" s="16">
        <f>IF(E68="기타","",IFERROR(VLOOKUP(E68,상품목록!$A$2:$B$13,2,FALSE),""))</f>
      </c>
      <c r="H68" s="16">
        <f>IF(OR(F68="",G68=""),"",F68*G68)</f>
      </c>
      <c r="I68" s="14"/>
      <c r="J68" s="13"/>
      <c r="K68" s="15"/>
      <c r="L68" s="13"/>
      <c r="M68" s="15"/>
      <c r="N68" s="14"/>
      <c r="O68" s="15"/>
    </row>
    <row r="69" spans="1:15" s="12" customFormat="1" x14ac:dyDescent="0.25">
      <c r="A69" s="13"/>
      <c r="B69" s="14"/>
      <c r="C69" s="14"/>
      <c r="D69" s="13"/>
      <c r="E69" s="15"/>
      <c r="F69" s="16"/>
      <c r="G69" s="16">
        <f>IF(E69="기타","",IFERROR(VLOOKUP(E69,상품목록!$A$2:$B$13,2,FALSE),""))</f>
      </c>
      <c r="H69" s="16">
        <f>IF(OR(F69="",G69=""),"",F69*G69)</f>
      </c>
      <c r="I69" s="14"/>
      <c r="J69" s="13"/>
      <c r="K69" s="15"/>
      <c r="L69" s="13"/>
      <c r="M69" s="15"/>
      <c r="N69" s="14"/>
      <c r="O69" s="15"/>
    </row>
    <row r="70" spans="1:15" s="12" customFormat="1" x14ac:dyDescent="0.25">
      <c r="A70" s="13"/>
      <c r="B70" s="14"/>
      <c r="C70" s="14"/>
      <c r="D70" s="13"/>
      <c r="E70" s="15"/>
      <c r="F70" s="16"/>
      <c r="G70" s="16">
        <f>IF(E70="기타","",IFERROR(VLOOKUP(E70,상품목록!$A$2:$B$13,2,FALSE),""))</f>
      </c>
      <c r="H70" s="16">
        <f>IF(OR(F70="",G70=""),"",F70*G70)</f>
      </c>
      <c r="I70" s="14"/>
      <c r="J70" s="13"/>
      <c r="K70" s="15"/>
      <c r="L70" s="13"/>
      <c r="M70" s="15"/>
      <c r="N70" s="14"/>
      <c r="O70" s="15"/>
    </row>
    <row r="71" spans="1:15" s="12" customFormat="1" x14ac:dyDescent="0.25">
      <c r="A71" s="13"/>
      <c r="B71" s="14"/>
      <c r="C71" s="14"/>
      <c r="D71" s="13"/>
      <c r="E71" s="15"/>
      <c r="F71" s="16"/>
      <c r="G71" s="16">
        <f>IF(E71="기타","",IFERROR(VLOOKUP(E71,상품목록!$A$2:$B$13,2,FALSE),""))</f>
      </c>
      <c r="H71" s="16">
        <f>IF(OR(F71="",G71=""),"",F71*G71)</f>
      </c>
      <c r="I71" s="14"/>
      <c r="J71" s="13"/>
      <c r="K71" s="15"/>
      <c r="L71" s="13"/>
      <c r="M71" s="15"/>
      <c r="N71" s="14"/>
      <c r="O71" s="15"/>
    </row>
    <row r="72" spans="1:15" s="12" customFormat="1" x14ac:dyDescent="0.25">
      <c r="A72" s="13"/>
      <c r="B72" s="14"/>
      <c r="C72" s="14"/>
      <c r="D72" s="13"/>
      <c r="E72" s="15"/>
      <c r="F72" s="16"/>
      <c r="G72" s="16">
        <f>IF(E72="기타","",IFERROR(VLOOKUP(E72,상품목록!$A$2:$B$13,2,FALSE),""))</f>
      </c>
      <c r="H72" s="16">
        <f>IF(OR(F72="",G72=""),"",F72*G72)</f>
      </c>
      <c r="I72" s="14"/>
      <c r="J72" s="13"/>
      <c r="K72" s="15"/>
      <c r="L72" s="13"/>
      <c r="M72" s="15"/>
      <c r="N72" s="14"/>
      <c r="O72" s="15"/>
    </row>
    <row r="73" spans="1:15" s="12" customFormat="1" x14ac:dyDescent="0.25">
      <c r="A73" s="13"/>
      <c r="B73" s="14"/>
      <c r="C73" s="14"/>
      <c r="D73" s="13"/>
      <c r="E73" s="15"/>
      <c r="F73" s="16"/>
      <c r="G73" s="16">
        <f>IF(E73="기타","",IFERROR(VLOOKUP(E73,상품목록!$A$2:$B$13,2,FALSE),""))</f>
      </c>
      <c r="H73" s="16">
        <f>IF(OR(F73="",G73=""),"",F73*G73)</f>
      </c>
      <c r="I73" s="14"/>
      <c r="J73" s="13"/>
      <c r="K73" s="15"/>
      <c r="L73" s="13"/>
      <c r="M73" s="15"/>
      <c r="N73" s="14"/>
      <c r="O73" s="15"/>
    </row>
    <row r="74" spans="1:15" s="12" customFormat="1" x14ac:dyDescent="0.25">
      <c r="A74" s="13"/>
      <c r="B74" s="14"/>
      <c r="C74" s="14"/>
      <c r="D74" s="13"/>
      <c r="E74" s="15"/>
      <c r="F74" s="16"/>
      <c r="G74" s="16">
        <f>IF(E74="기타","",IFERROR(VLOOKUP(E74,상품목록!$A$2:$B$13,2,FALSE),""))</f>
      </c>
      <c r="H74" s="16">
        <f>IF(OR(F74="",G74=""),"",F74*G74)</f>
      </c>
      <c r="I74" s="14"/>
      <c r="J74" s="13"/>
      <c r="K74" s="15"/>
      <c r="L74" s="13"/>
      <c r="M74" s="15"/>
      <c r="N74" s="14"/>
      <c r="O74" s="15"/>
    </row>
    <row r="75" spans="1:15" s="12" customFormat="1" x14ac:dyDescent="0.25">
      <c r="A75" s="13"/>
      <c r="B75" s="14"/>
      <c r="C75" s="14"/>
      <c r="D75" s="13"/>
      <c r="E75" s="15"/>
      <c r="F75" s="16"/>
      <c r="G75" s="16">
        <f>IF(E75="기타","",IFERROR(VLOOKUP(E75,상품목록!$A$2:$B$13,2,FALSE),""))</f>
      </c>
      <c r="H75" s="16">
        <f>IF(OR(F75="",G75=""),"",F75*G75)</f>
      </c>
      <c r="I75" s="14"/>
      <c r="J75" s="13"/>
      <c r="K75" s="15"/>
      <c r="L75" s="13"/>
      <c r="M75" s="15"/>
      <c r="N75" s="14"/>
      <c r="O75" s="15"/>
    </row>
    <row r="76" spans="1:15" s="12" customFormat="1" x14ac:dyDescent="0.25">
      <c r="A76" s="13"/>
      <c r="B76" s="14"/>
      <c r="C76" s="14"/>
      <c r="D76" s="13"/>
      <c r="E76" s="15"/>
      <c r="F76" s="16"/>
      <c r="G76" s="16">
        <f>IF(E76="기타","",IFERROR(VLOOKUP(E76,상품목록!$A$2:$B$13,2,FALSE),""))</f>
      </c>
      <c r="H76" s="16">
        <f>IF(OR(F76="",G76=""),"",F76*G76)</f>
      </c>
      <c r="I76" s="14"/>
      <c r="J76" s="13"/>
      <c r="K76" s="15"/>
      <c r="L76" s="13"/>
      <c r="M76" s="15"/>
      <c r="N76" s="14"/>
      <c r="O76" s="15"/>
    </row>
    <row r="77" spans="1:15" s="12" customFormat="1" x14ac:dyDescent="0.25">
      <c r="A77" s="13"/>
      <c r="B77" s="14"/>
      <c r="C77" s="14"/>
      <c r="D77" s="13"/>
      <c r="E77" s="15"/>
      <c r="F77" s="16"/>
      <c r="G77" s="16">
        <f>IF(E77="기타","",IFERROR(VLOOKUP(E77,상품목록!$A$2:$B$13,2,FALSE),""))</f>
      </c>
      <c r="H77" s="16">
        <f>IF(OR(F77="",G77=""),"",F77*G77)</f>
      </c>
      <c r="I77" s="14"/>
      <c r="J77" s="13"/>
      <c r="K77" s="15"/>
      <c r="L77" s="13"/>
      <c r="M77" s="15"/>
      <c r="N77" s="14"/>
      <c r="O77" s="15"/>
    </row>
    <row r="78" spans="1:15" s="12" customFormat="1" x14ac:dyDescent="0.25">
      <c r="A78" s="13"/>
      <c r="B78" s="14"/>
      <c r="C78" s="14"/>
      <c r="D78" s="13"/>
      <c r="E78" s="15"/>
      <c r="F78" s="16"/>
      <c r="G78" s="16">
        <f>IF(E78="기타","",IFERROR(VLOOKUP(E78,상품목록!$A$2:$B$13,2,FALSE),""))</f>
      </c>
      <c r="H78" s="16">
        <f>IF(OR(F78="",G78=""),"",F78*G78)</f>
      </c>
      <c r="I78" s="14"/>
      <c r="J78" s="13"/>
      <c r="K78" s="15"/>
      <c r="L78" s="13"/>
      <c r="M78" s="15"/>
      <c r="N78" s="14"/>
      <c r="O78" s="15"/>
    </row>
    <row r="79" spans="1:15" s="12" customFormat="1" x14ac:dyDescent="0.25">
      <c r="A79" s="13"/>
      <c r="B79" s="14"/>
      <c r="C79" s="14"/>
      <c r="D79" s="13"/>
      <c r="E79" s="15"/>
      <c r="F79" s="16"/>
      <c r="G79" s="16">
        <f>IF(E79="기타","",IFERROR(VLOOKUP(E79,상품목록!$A$2:$B$13,2,FALSE),""))</f>
      </c>
      <c r="H79" s="16">
        <f>IF(OR(F79="",G79=""),"",F79*G79)</f>
      </c>
      <c r="I79" s="14"/>
      <c r="J79" s="13"/>
      <c r="K79" s="15"/>
      <c r="L79" s="13"/>
      <c r="M79" s="15"/>
      <c r="N79" s="14"/>
      <c r="O79" s="15"/>
    </row>
    <row r="80" spans="1:15" s="12" customFormat="1" x14ac:dyDescent="0.25">
      <c r="A80" s="13"/>
      <c r="B80" s="14"/>
      <c r="C80" s="14"/>
      <c r="D80" s="13"/>
      <c r="E80" s="15"/>
      <c r="F80" s="16"/>
      <c r="G80" s="16">
        <f>IF(E80="기타","",IFERROR(VLOOKUP(E80,상품목록!$A$2:$B$13,2,FALSE),""))</f>
      </c>
      <c r="H80" s="16">
        <f>IF(OR(F80="",G80=""),"",F80*G80)</f>
      </c>
      <c r="I80" s="14"/>
      <c r="J80" s="13"/>
      <c r="K80" s="15"/>
      <c r="L80" s="13"/>
      <c r="M80" s="15"/>
      <c r="N80" s="14"/>
      <c r="O80" s="15"/>
    </row>
    <row r="81" spans="1:15" s="12" customFormat="1" x14ac:dyDescent="0.25">
      <c r="A81" s="13"/>
      <c r="B81" s="14"/>
      <c r="C81" s="14"/>
      <c r="D81" s="13"/>
      <c r="E81" s="15"/>
      <c r="F81" s="16"/>
      <c r="G81" s="16">
        <f>IF(E81="기타","",IFERROR(VLOOKUP(E81,상품목록!$A$2:$B$13,2,FALSE),""))</f>
      </c>
      <c r="H81" s="16">
        <f>IF(OR(F81="",G81=""),"",F81*G81)</f>
      </c>
      <c r="I81" s="14"/>
      <c r="J81" s="13"/>
      <c r="K81" s="15"/>
      <c r="L81" s="13"/>
      <c r="M81" s="15"/>
      <c r="N81" s="14"/>
      <c r="O81" s="15"/>
    </row>
    <row r="82" spans="1:15" s="12" customFormat="1" x14ac:dyDescent="0.25">
      <c r="A82" s="13"/>
      <c r="B82" s="14"/>
      <c r="C82" s="14"/>
      <c r="D82" s="13"/>
      <c r="E82" s="15"/>
      <c r="F82" s="16"/>
      <c r="G82" s="16">
        <f>IF(E82="기타","",IFERROR(VLOOKUP(E82,상품목록!$A$2:$B$13,2,FALSE),""))</f>
      </c>
      <c r="H82" s="16">
        <f>IF(OR(F82="",G82=""),"",F82*G82)</f>
      </c>
      <c r="I82" s="14"/>
      <c r="J82" s="13"/>
      <c r="K82" s="15"/>
      <c r="L82" s="13"/>
      <c r="M82" s="15"/>
      <c r="N82" s="14"/>
      <c r="O82" s="15"/>
    </row>
    <row r="83" spans="1:15" s="12" customFormat="1" x14ac:dyDescent="0.25">
      <c r="A83" s="13"/>
      <c r="B83" s="14"/>
      <c r="C83" s="14"/>
      <c r="D83" s="13"/>
      <c r="E83" s="15"/>
      <c r="F83" s="16"/>
      <c r="G83" s="16">
        <f>IF(E83="기타","",IFERROR(VLOOKUP(E83,상품목록!$A$2:$B$13,2,FALSE),""))</f>
      </c>
      <c r="H83" s="16">
        <f>IF(OR(F83="",G83=""),"",F83*G83)</f>
      </c>
      <c r="I83" s="14"/>
      <c r="J83" s="13"/>
      <c r="K83" s="15"/>
      <c r="L83" s="13"/>
      <c r="M83" s="15"/>
      <c r="N83" s="14"/>
      <c r="O83" s="15"/>
    </row>
    <row r="84" spans="1:15" s="12" customFormat="1" x14ac:dyDescent="0.25">
      <c r="A84" s="13"/>
      <c r="B84" s="14"/>
      <c r="C84" s="14"/>
      <c r="D84" s="13"/>
      <c r="E84" s="15"/>
      <c r="F84" s="16"/>
      <c r="G84" s="16">
        <f>IF(E84="기타","",IFERROR(VLOOKUP(E84,상품목록!$A$2:$B$13,2,FALSE),""))</f>
      </c>
      <c r="H84" s="16">
        <f>IF(OR(F84="",G84=""),"",F84*G84)</f>
      </c>
      <c r="I84" s="14"/>
      <c r="J84" s="13"/>
      <c r="K84" s="15"/>
      <c r="L84" s="13"/>
      <c r="M84" s="15"/>
      <c r="N84" s="14"/>
      <c r="O84" s="15"/>
    </row>
    <row r="85" spans="1:15" s="12" customFormat="1" x14ac:dyDescent="0.25">
      <c r="A85" s="13"/>
      <c r="B85" s="14"/>
      <c r="C85" s="14"/>
      <c r="D85" s="13"/>
      <c r="E85" s="15"/>
      <c r="F85" s="16"/>
      <c r="G85" s="16">
        <f>IF(E85="기타","",IFERROR(VLOOKUP(E85,상품목록!$A$2:$B$13,2,FALSE),""))</f>
      </c>
      <c r="H85" s="16">
        <f>IF(OR(F85="",G85=""),"",F85*G85)</f>
      </c>
      <c r="I85" s="14"/>
      <c r="J85" s="13"/>
      <c r="K85" s="15"/>
      <c r="L85" s="13"/>
      <c r="M85" s="15"/>
      <c r="N85" s="14"/>
      <c r="O85" s="15"/>
    </row>
    <row r="86" spans="1:15" s="12" customFormat="1" x14ac:dyDescent="0.25">
      <c r="A86" s="13"/>
      <c r="B86" s="14"/>
      <c r="C86" s="14"/>
      <c r="D86" s="13"/>
      <c r="E86" s="15"/>
      <c r="F86" s="16"/>
      <c r="G86" s="16">
        <f>IF(E86="기타","",IFERROR(VLOOKUP(E86,상품목록!$A$2:$B$13,2,FALSE),""))</f>
      </c>
      <c r="H86" s="16">
        <f>IF(OR(F86="",G86=""),"",F86*G86)</f>
      </c>
      <c r="I86" s="14"/>
      <c r="J86" s="13"/>
      <c r="K86" s="15"/>
      <c r="L86" s="13"/>
      <c r="M86" s="15"/>
      <c r="N86" s="14"/>
      <c r="O86" s="15"/>
    </row>
    <row r="87" spans="1:15" s="12" customFormat="1" x14ac:dyDescent="0.25">
      <c r="A87" s="13"/>
      <c r="B87" s="14"/>
      <c r="C87" s="14"/>
      <c r="D87" s="13"/>
      <c r="E87" s="15"/>
      <c r="F87" s="16"/>
      <c r="G87" s="16">
        <f>IF(E87="기타","",IFERROR(VLOOKUP(E87,상품목록!$A$2:$B$13,2,FALSE),""))</f>
      </c>
      <c r="H87" s="16">
        <f>IF(OR(F87="",G87=""),"",F87*G87)</f>
      </c>
      <c r="I87" s="14"/>
      <c r="J87" s="13"/>
      <c r="K87" s="15"/>
      <c r="L87" s="13"/>
      <c r="M87" s="15"/>
      <c r="N87" s="14"/>
      <c r="O87" s="15"/>
    </row>
    <row r="88" spans="1:15" s="12" customFormat="1" x14ac:dyDescent="0.25">
      <c r="A88" s="13"/>
      <c r="B88" s="14"/>
      <c r="C88" s="14"/>
      <c r="D88" s="13"/>
      <c r="E88" s="15"/>
      <c r="F88" s="16"/>
      <c r="G88" s="16">
        <f>IF(E88="기타","",IFERROR(VLOOKUP(E88,상품목록!$A$2:$B$13,2,FALSE),""))</f>
      </c>
      <c r="H88" s="16">
        <f>IF(OR(F88="",G88=""),"",F88*G88)</f>
      </c>
      <c r="I88" s="14"/>
      <c r="J88" s="13"/>
      <c r="K88" s="15"/>
      <c r="L88" s="13"/>
      <c r="M88" s="15"/>
      <c r="N88" s="14"/>
      <c r="O88" s="15"/>
    </row>
    <row r="89" spans="1:15" s="12" customFormat="1" x14ac:dyDescent="0.25">
      <c r="A89" s="13"/>
      <c r="B89" s="14"/>
      <c r="C89" s="14"/>
      <c r="D89" s="13"/>
      <c r="E89" s="15"/>
      <c r="F89" s="16"/>
      <c r="G89" s="16">
        <f>IF(E89="기타","",IFERROR(VLOOKUP(E89,상품목록!$A$2:$B$13,2,FALSE),""))</f>
      </c>
      <c r="H89" s="16">
        <f>IF(OR(F89="",G89=""),"",F89*G89)</f>
      </c>
      <c r="I89" s="14"/>
      <c r="J89" s="13"/>
      <c r="K89" s="15"/>
      <c r="L89" s="13"/>
      <c r="M89" s="15"/>
      <c r="N89" s="14"/>
      <c r="O89" s="15"/>
    </row>
    <row r="90" spans="1:15" s="12" customFormat="1" x14ac:dyDescent="0.25">
      <c r="A90" s="13"/>
      <c r="B90" s="14"/>
      <c r="C90" s="14"/>
      <c r="D90" s="13"/>
      <c r="E90" s="15"/>
      <c r="F90" s="16"/>
      <c r="G90" s="16">
        <f>IF(E90="기타","",IFERROR(VLOOKUP(E90,상품목록!$A$2:$B$13,2,FALSE),""))</f>
      </c>
      <c r="H90" s="16">
        <f>IF(OR(F90="",G90=""),"",F90*G90)</f>
      </c>
      <c r="I90" s="14"/>
      <c r="J90" s="13"/>
      <c r="K90" s="15"/>
      <c r="L90" s="13"/>
      <c r="M90" s="15"/>
      <c r="N90" s="14"/>
      <c r="O90" s="15"/>
    </row>
    <row r="91" spans="1:15" s="12" customFormat="1" x14ac:dyDescent="0.25">
      <c r="A91" s="13"/>
      <c r="B91" s="14"/>
      <c r="C91" s="14"/>
      <c r="D91" s="13"/>
      <c r="E91" s="15"/>
      <c r="F91" s="16"/>
      <c r="G91" s="16">
        <f>IF(E91="기타","",IFERROR(VLOOKUP(E91,상품목록!$A$2:$B$13,2,FALSE),""))</f>
      </c>
      <c r="H91" s="16">
        <f>IF(OR(F91="",G91=""),"",F91*G91)</f>
      </c>
      <c r="I91" s="14"/>
      <c r="J91" s="13"/>
      <c r="K91" s="15"/>
      <c r="L91" s="13"/>
      <c r="M91" s="15"/>
      <c r="N91" s="14"/>
      <c r="O91" s="15"/>
    </row>
    <row r="92" spans="1:15" s="12" customFormat="1" x14ac:dyDescent="0.25">
      <c r="A92" s="13"/>
      <c r="B92" s="14"/>
      <c r="C92" s="14"/>
      <c r="D92" s="13"/>
      <c r="E92" s="15"/>
      <c r="F92" s="16"/>
      <c r="G92" s="16">
        <f>IF(E92="기타","",IFERROR(VLOOKUP(E92,상품목록!$A$2:$B$13,2,FALSE),""))</f>
      </c>
      <c r="H92" s="16">
        <f>IF(OR(F92="",G92=""),"",F92*G92)</f>
      </c>
      <c r="I92" s="14"/>
      <c r="J92" s="13"/>
      <c r="K92" s="15"/>
      <c r="L92" s="13"/>
      <c r="M92" s="15"/>
      <c r="N92" s="14"/>
      <c r="O92" s="15"/>
    </row>
    <row r="93" spans="1:15" s="12" customFormat="1" x14ac:dyDescent="0.25">
      <c r="A93" s="13"/>
      <c r="B93" s="14"/>
      <c r="C93" s="14"/>
      <c r="D93" s="13"/>
      <c r="E93" s="15"/>
      <c r="F93" s="16"/>
      <c r="G93" s="16">
        <f>IF(E93="기타","",IFERROR(VLOOKUP(E93,상품목록!$A$2:$B$13,2,FALSE),""))</f>
      </c>
      <c r="H93" s="16">
        <f>IF(OR(F93="",G93=""),"",F93*G93)</f>
      </c>
      <c r="I93" s="14"/>
      <c r="J93" s="13"/>
      <c r="K93" s="15"/>
      <c r="L93" s="13"/>
      <c r="M93" s="15"/>
      <c r="N93" s="14"/>
      <c r="O93" s="15"/>
    </row>
    <row r="94" spans="1:15" s="12" customFormat="1" x14ac:dyDescent="0.25">
      <c r="A94" s="13"/>
      <c r="B94" s="14"/>
      <c r="C94" s="14"/>
      <c r="D94" s="13"/>
      <c r="E94" s="15"/>
      <c r="F94" s="16"/>
      <c r="G94" s="16">
        <f>IF(E94="기타","",IFERROR(VLOOKUP(E94,상품목록!$A$2:$B$13,2,FALSE),""))</f>
      </c>
      <c r="H94" s="16">
        <f>IF(OR(F94="",G94=""),"",F94*G94)</f>
      </c>
      <c r="I94" s="14"/>
      <c r="J94" s="13"/>
      <c r="K94" s="15"/>
      <c r="L94" s="13"/>
      <c r="M94" s="15"/>
      <c r="N94" s="14"/>
      <c r="O94" s="15"/>
    </row>
    <row r="95" spans="1:15" s="12" customFormat="1" x14ac:dyDescent="0.25">
      <c r="A95" s="13"/>
      <c r="B95" s="14"/>
      <c r="C95" s="14"/>
      <c r="D95" s="13"/>
      <c r="E95" s="15"/>
      <c r="F95" s="16"/>
      <c r="G95" s="16">
        <f>IF(E95="기타","",IFERROR(VLOOKUP(E95,상품목록!$A$2:$B$13,2,FALSE),""))</f>
      </c>
      <c r="H95" s="16">
        <f>IF(OR(F95="",G95=""),"",F95*G95)</f>
      </c>
      <c r="I95" s="14"/>
      <c r="J95" s="13"/>
      <c r="K95" s="15"/>
      <c r="L95" s="13"/>
      <c r="M95" s="15"/>
      <c r="N95" s="14"/>
      <c r="O95" s="15"/>
    </row>
    <row r="96" spans="1:15" s="12" customFormat="1" x14ac:dyDescent="0.25">
      <c r="A96" s="13"/>
      <c r="B96" s="14"/>
      <c r="C96" s="14"/>
      <c r="D96" s="13"/>
      <c r="E96" s="15"/>
      <c r="F96" s="16"/>
      <c r="G96" s="16">
        <f>IF(E96="기타","",IFERROR(VLOOKUP(E96,상품목록!$A$2:$B$13,2,FALSE),""))</f>
      </c>
      <c r="H96" s="16">
        <f>IF(OR(F96="",G96=""),"",F96*G96)</f>
      </c>
      <c r="I96" s="14"/>
      <c r="J96" s="13"/>
      <c r="K96" s="15"/>
      <c r="L96" s="13"/>
      <c r="M96" s="15"/>
      <c r="N96" s="14"/>
      <c r="O96" s="15"/>
    </row>
    <row r="97" spans="1:15" s="12" customFormat="1" x14ac:dyDescent="0.25">
      <c r="A97" s="13"/>
      <c r="B97" s="14"/>
      <c r="C97" s="14"/>
      <c r="D97" s="13"/>
      <c r="E97" s="15"/>
      <c r="F97" s="16"/>
      <c r="G97" s="16">
        <f>IF(E97="기타","",IFERROR(VLOOKUP(E97,상품목록!$A$2:$B$13,2,FALSE),""))</f>
      </c>
      <c r="H97" s="16">
        <f>IF(OR(F97="",G97=""),"",F97*G97)</f>
      </c>
      <c r="I97" s="14"/>
      <c r="J97" s="13"/>
      <c r="K97" s="15"/>
      <c r="L97" s="13"/>
      <c r="M97" s="15"/>
      <c r="N97" s="14"/>
      <c r="O97" s="15"/>
    </row>
    <row r="98" spans="1:15" s="12" customFormat="1" x14ac:dyDescent="0.25">
      <c r="A98" s="13"/>
      <c r="B98" s="14"/>
      <c r="C98" s="14"/>
      <c r="D98" s="13"/>
      <c r="E98" s="15"/>
      <c r="F98" s="16"/>
      <c r="G98" s="16">
        <f>IF(E98="기타","",IFERROR(VLOOKUP(E98,상품목록!$A$2:$B$13,2,FALSE),""))</f>
      </c>
      <c r="H98" s="16">
        <f>IF(OR(F98="",G98=""),"",F98*G98)</f>
      </c>
      <c r="I98" s="14"/>
      <c r="J98" s="13"/>
      <c r="K98" s="15"/>
      <c r="L98" s="13"/>
      <c r="M98" s="15"/>
      <c r="N98" s="14"/>
      <c r="O98" s="15"/>
    </row>
    <row r="99" spans="1:15" s="12" customFormat="1" x14ac:dyDescent="0.25">
      <c r="A99" s="13"/>
      <c r="B99" s="14"/>
      <c r="C99" s="14"/>
      <c r="D99" s="13"/>
      <c r="E99" s="15"/>
      <c r="F99" s="16"/>
      <c r="G99" s="16">
        <f>IF(E99="기타","",IFERROR(VLOOKUP(E99,상품목록!$A$2:$B$13,2,FALSE),""))</f>
      </c>
      <c r="H99" s="16">
        <f>IF(OR(F99="",G99=""),"",F99*G99)</f>
      </c>
      <c r="I99" s="14"/>
      <c r="J99" s="13"/>
      <c r="K99" s="15"/>
      <c r="L99" s="13"/>
      <c r="M99" s="15"/>
      <c r="N99" s="14"/>
      <c r="O99" s="15"/>
    </row>
    <row r="100" spans="1:15" s="12" customFormat="1" x14ac:dyDescent="0.25">
      <c r="A100" s="13"/>
      <c r="B100" s="14"/>
      <c r="C100" s="14"/>
      <c r="D100" s="13"/>
      <c r="E100" s="15"/>
      <c r="F100" s="16"/>
      <c r="G100" s="16">
        <f>IF(E100="기타","",IFERROR(VLOOKUP(E100,상품목록!$A$2:$B$13,2,FALSE),""))</f>
      </c>
      <c r="H100" s="16">
        <f>IF(OR(F100="",G100=""),"",F100*G100)</f>
      </c>
      <c r="I100" s="14"/>
      <c r="J100" s="13"/>
      <c r="K100" s="15"/>
      <c r="L100" s="13"/>
      <c r="M100" s="15"/>
      <c r="N100" s="14"/>
      <c r="O100" s="15"/>
    </row>
  </sheetData>
  <mergeCells count="4">
    <mergeCell ref="A1:O1"/>
    <mergeCell ref="A2:O2"/>
    <mergeCell ref="A3:O3"/>
    <mergeCell ref="A4:O4"/>
  </mergeCells>
  <dataValidations count="6">
    <dataValidation type="list" showErrorMessage="1" errorTitle="입력 오류" error="현장수령, 택배, 배달 중 선택해주세요." sqref="B10:B100">
      <formula1>"현장수령,택배,배달"</formula1>
    </dataValidation>
    <dataValidation type="list" showErrorMessage="1" errorTitle="입력 오류" error="현장수령, 택배, 배달 중 선택해주세요." sqref="B6:B100">
      <formula1>"현장수령,택배,배달"</formula1>
    </dataValidation>
    <dataValidation type="list" showErrorMessage="1" errorTitle="상품 선택" error="목록에 있는 상품명을 선택해주세요. 목록에 없는 상품은 '기타'를 선택하세요." sqref="E10:E100">
      <formula1>"실속세트,봉황세트,팔영세트,진,선,미,O'meat Signature,O'meat Prestige,LA갈비 1호,LA갈비 2호,사골×우족,사골×잡뼈×꼬리,기타"</formula1>
    </dataValidation>
    <dataValidation type="list" showErrorMessage="1" errorTitle="상품 선택" error="목록에 있는 상품명을 선택해주세요. 목록에 없는 상품은 '기타'를 선택하세요." sqref="E6:E100">
      <formula1>"실속세트,봉황세트,팔영세트,진,선,미,O'meat Signature,O'meat Prestige,LA갈비 1호,LA갈비 2호,사골×우족,사골×잡뼈×꼬리,기타"</formula1>
    </dataValidation>
    <dataValidation type="list" allowBlank="1" showErrorMessage="1" errorTitle="결제상태" error="미결제 또는 결제완료를 선택해주세요." sqref="N10:N100">
      <formula1>"미결제,결제완료"</formula1>
    </dataValidation>
    <dataValidation type="list" allowBlank="1" showErrorMessage="1" errorTitle="결제상태" error="미결제 또는 결제완료를 선택해주세요." sqref="N6:N100">
      <formula1>"미결제,결제완료"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"/>
  <sheetViews>
    <sheetView workbookViewId="0"/>
  </sheetViews>
  <sheetFormatPr defaultRowHeight="15" outlineLevelRow="0" outlineLevelCol="0" x14ac:dyDescent="55"/>
  <cols>
    <col min="1" max="1" width="17" customWidth="1"/>
    <col min="2" max="2" width="12" customWidth="1"/>
    <col min="3" max="3" width="15" customWidth="1"/>
    <col min="4" max="4" width="16" customWidth="1"/>
    <col min="5" max="5" width="20" customWidth="1"/>
    <col min="6" max="6" width="8" customWidth="1"/>
    <col min="7" max="7" width="14" customWidth="1"/>
    <col min="8" max="8" width="15" customWidth="1"/>
    <col min="9" max="9" width="13" customWidth="1"/>
    <col min="10" max="10" width="16" customWidth="1"/>
    <col min="11" max="11" width="36" customWidth="1"/>
    <col min="12" max="12" width="12" customWidth="1"/>
    <col min="13" max="13" width="22" customWidth="1"/>
    <col min="14" max="14" width="12" customWidth="1"/>
    <col min="15" max="15" width="28" customWidth="1"/>
  </cols>
  <sheetData>
    <row r="1" ht="32" customHeight="1" spans="1:15" x14ac:dyDescent="0.25">
      <c r="A1" s="17" t="s">
        <v>34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ht="28" customHeight="1" spans="1:15" s="8" customFormat="1" x14ac:dyDescent="0.25">
      <c r="A2" s="18" t="s">
        <v>19</v>
      </c>
      <c r="B2" s="18" t="s">
        <v>20</v>
      </c>
      <c r="C2" s="18" t="s">
        <v>21</v>
      </c>
      <c r="D2" s="18" t="s">
        <v>22</v>
      </c>
      <c r="E2" s="18" t="s">
        <v>23</v>
      </c>
      <c r="F2" s="18" t="s">
        <v>24</v>
      </c>
      <c r="G2" s="18" t="s">
        <v>25</v>
      </c>
      <c r="H2" s="18" t="s">
        <v>26</v>
      </c>
      <c r="I2" s="18" t="s">
        <v>27</v>
      </c>
      <c r="J2" s="18" t="s">
        <v>28</v>
      </c>
      <c r="K2" s="18" t="s">
        <v>29</v>
      </c>
      <c r="L2" s="18" t="s">
        <v>30</v>
      </c>
      <c r="M2" s="18" t="s">
        <v>31</v>
      </c>
      <c r="N2" s="18" t="s">
        <v>32</v>
      </c>
      <c r="O2" s="18" t="s">
        <v>33</v>
      </c>
    </row>
    <row r="3" spans="1:15" s="12" customFormat="1" x14ac:dyDescent="0.25">
      <c r="A3" s="19" t="s">
        <v>35</v>
      </c>
      <c r="B3" s="19" t="s">
        <v>36</v>
      </c>
      <c r="C3" s="19" t="s">
        <v>37</v>
      </c>
      <c r="D3" s="19" t="s">
        <v>38</v>
      </c>
      <c r="E3" s="19" t="s">
        <v>3</v>
      </c>
      <c r="F3" s="20">
        <v>2</v>
      </c>
      <c r="G3" s="20">
        <v>200000</v>
      </c>
      <c r="H3" s="20">
        <v>400000</v>
      </c>
      <c r="I3" s="19" t="s">
        <v>39</v>
      </c>
      <c r="J3" s="19" t="s">
        <v>39</v>
      </c>
      <c r="K3" s="19" t="s">
        <v>39</v>
      </c>
      <c r="L3" s="19" t="s">
        <v>40</v>
      </c>
      <c r="M3" s="19" t="s">
        <v>39</v>
      </c>
      <c r="N3" s="19" t="s">
        <v>41</v>
      </c>
      <c r="O3" s="19" t="s">
        <v>42</v>
      </c>
    </row>
    <row r="4" spans="1:15" s="12" customFormat="1" x14ac:dyDescent="0.25">
      <c r="A4" s="19" t="s">
        <v>35</v>
      </c>
      <c r="B4" s="19" t="s">
        <v>43</v>
      </c>
      <c r="C4" s="19" t="s">
        <v>44</v>
      </c>
      <c r="D4" s="19" t="s">
        <v>45</v>
      </c>
      <c r="E4" s="19" t="s">
        <v>4</v>
      </c>
      <c r="F4" s="20">
        <v>1</v>
      </c>
      <c r="G4" s="20">
        <v>300000</v>
      </c>
      <c r="H4" s="20">
        <v>300000</v>
      </c>
      <c r="I4" s="19" t="s">
        <v>46</v>
      </c>
      <c r="J4" s="19" t="s">
        <v>47</v>
      </c>
      <c r="K4" s="19" t="s">
        <v>48</v>
      </c>
      <c r="L4" s="19" t="s">
        <v>39</v>
      </c>
      <c r="M4" s="19" t="s">
        <v>49</v>
      </c>
      <c r="N4" s="19" t="s">
        <v>41</v>
      </c>
      <c r="O4" s="19" t="s">
        <v>39</v>
      </c>
    </row>
    <row r="5" spans="1:15" s="12" customFormat="1" x14ac:dyDescent="0.25">
      <c r="A5" s="19" t="s">
        <v>50</v>
      </c>
      <c r="B5" s="19" t="s">
        <v>43</v>
      </c>
      <c r="C5" s="19" t="s">
        <v>51</v>
      </c>
      <c r="D5" s="19" t="s">
        <v>52</v>
      </c>
      <c r="E5" s="19" t="s">
        <v>14</v>
      </c>
      <c r="F5" s="20">
        <v>1</v>
      </c>
      <c r="G5" s="20">
        <v>150000</v>
      </c>
      <c r="H5" s="20">
        <v>150000</v>
      </c>
      <c r="I5" s="19" t="s">
        <v>53</v>
      </c>
      <c r="J5" s="19" t="s">
        <v>54</v>
      </c>
      <c r="K5" s="19" t="s">
        <v>55</v>
      </c>
      <c r="L5" s="19" t="s">
        <v>39</v>
      </c>
      <c r="M5" s="19" t="s">
        <v>56</v>
      </c>
      <c r="N5" s="19" t="s">
        <v>57</v>
      </c>
      <c r="O5" s="19" t="s">
        <v>58</v>
      </c>
    </row>
  </sheetData>
  <mergeCells count="1">
    <mergeCell ref="A1:O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상품목록</vt:lpstr>
      <vt:lpstr>주문입력</vt:lpstr>
      <vt:lpstr>작성예시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정일품</dc:creator>
  <dc:title/>
  <dc:subject/>
  <dc:description/>
  <cp:keywords/>
  <cp:category/>
  <cp:lastModifiedBy>정일품</cp:lastModifiedBy>
  <dcterms:created xsi:type="dcterms:W3CDTF">2026-09-13T12:01:49Z</dcterms:created>
  <dcterms:modified xsi:type="dcterms:W3CDTF">2026-09-13T12:01:49Z</dcterms:modified>
</cp:coreProperties>
</file>